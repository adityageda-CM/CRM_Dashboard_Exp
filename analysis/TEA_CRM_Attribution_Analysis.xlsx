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CRM Daily Funnel" sheetId="1" state="visible" r:id="rId3"/>
    <sheet name="2. Leakage Waterfall" sheetId="2" state="visible" r:id="rId4"/>
    <sheet name="3. TEA Source Attribution" sheetId="3" state="visible" r:id="rId5"/>
    <sheet name="4. User Journey Sample" sheetId="4" state="visible" r:id="rId6"/>
    <sheet name="5. Efficiency &amp; Fix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<sst xmlns="http://schemas.openxmlformats.org/spreadsheetml/2006/main" count="325" uniqueCount="241">
  <si>
    <t xml:space="preserve">TEA Location Flow — CRM Funnel Efficiency Analysis  (Aug 2026)</t>
  </si>
  <si>
    <t xml:space="preserve">Source: MoEngage split_stage_stats (exact) + Databricks percept_event_all (Aug 10 confirmed, others extrapolated using Aug 10 ratios). Push attribution = source_attribute_type='Push' in DB entry JSON.  DB multi-day queries timeout &gt;10 min — Aug 10 is ground truth; other days use same funnel ratios.</t>
  </si>
  <si>
    <t xml:space="preserve">DATE</t>
  </si>
  <si>
    <t xml:space="preserve">MOENGAGE — SENT</t>
  </si>
  <si>
    <t xml:space="preserve">MOENGAGE — SEEN (Impressions)</t>
  </si>
  <si>
    <t xml:space="preserve">MOENGAGE — CLICKED</t>
  </si>
  <si>
    <t xml:space="preserve">DB — POST-CLICK FUNNEL  (Push-attr)</t>
  </si>
  <si>
    <t xml:space="preserve">Date</t>
  </si>
  <si>
    <t xml:space="preserve">DOW</t>
  </si>
  <si>
    <t xml:space="preserve">P1 Sent</t>
  </si>
  <si>
    <t xml:space="preserve">P2 Sent</t>
  </si>
  <si>
    <t xml:space="preserve">WA Sent</t>
  </si>
  <si>
    <t xml:space="preserve">FP Sent</t>
  </si>
  <si>
    <t xml:space="preserve">Total Sent</t>
  </si>
  <si>
    <t xml:space="preserve">P1 Seen</t>
  </si>
  <si>
    <t xml:space="preserve">P2 Seen</t>
  </si>
  <si>
    <t xml:space="preserve">WA Seen</t>
  </si>
  <si>
    <t xml:space="preserve">FP Seen</t>
  </si>
  <si>
    <t xml:space="preserve">P1 Clicks</t>
  </si>
  <si>
    <t xml:space="preserve">P2 Clicks</t>
  </si>
  <si>
    <t xml:space="preserve">WA Clicks</t>
  </si>
  <si>
    <t xml:space="preserve">FP Clicks</t>
  </si>
  <si>
    <t xml:space="preserve">App Opens</t>
  </si>
  <si>
    <t xml:space="preserve">→ Home Scrn</t>
  </si>
  <si>
    <t xml:space="preserve">→ Travel Tab</t>
  </si>
  <si>
    <t xml:space="preserve">→ TEA Module</t>
  </si>
  <si>
    <t xml:space="preserve">→ City View</t>
  </si>
  <si>
    <t xml:space="preserve">Booked</t>
  </si>
  <si>
    <t xml:space="preserve">Sat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</si>
  <si>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</si>
  <si>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</si>
  <si>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</si>
  <si>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</si>
  <si>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</si>
  <si>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</si>
  <si>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TOTALS</t>
  </si>
  <si>
    <t xml:space="preserve">CRM Funnel Leakage — Aug 10 2026  (DB Confirmed, Push attribution)</t>
  </si>
  <si>
    <t xml:space="preserve">All numbers = unique users with source_attribute_type='Push' in Databricks percept_event_all on Aug 10.  Total PN recipients that day (MoEngage): 10,071 messages to 1,657 people.  Deep link confirmed as scapia://deeplink/tea/city-srp — fires but app navigates to home+mpin instead.</t>
  </si>
  <si>
    <t xml:space="preserve">Funnel Step</t>
  </si>
  <si>
    <t xml:space="preserve">Event in DB</t>
  </si>
  <si>
    <t xml:space="preserve">Users (unique)</t>
  </si>
  <si>
    <t xml:space="preserve">Drop vs Prior Step</t>
  </si>
  <si>
    <t xml:space="preserve">Conversion Rate</t>
  </si>
  <si>
    <t xml:space="preserve">% of PN Recipients</t>
  </si>
  <si>
    <t xml:space="preserve">Finding</t>
  </si>
  <si>
    <t xml:space="preserve">PN Sent (total msgs)</t>
  </si>
  <si>
    <t xml:space="preserve">—  (MoEngage)</t>
  </si>
  <si>
    <t xml:space="preserve">—</t>
  </si>
  <si>
    <t xml:space="preserve">Total messages sent across P1+P2+WA+FP</t>
  </si>
  <si>
    <t xml:space="preserve">PN Sent (unique people)</t>
  </si>
  <si>
    <t xml:space="preserve">Deduplicated people who entered the flow that day</t>
  </si>
  <si>
    <t xml:space="preserve">Clicked the PN</t>
  </si>
  <si>
    <t xml:space="preserve">—  (MoEngage clicks total)</t>
  </si>
  <si>
    <t xml:space="preserve">P1=42 P2=27 WA=26 FP=7 — click rate ~6.2% of people</t>
  </si>
  <si>
    <t xml:space="preserve">App opened from PN</t>
  </si>
  <si>
    <t xml:space="preserve">App Active  [Push]</t>
  </si>
  <si>
    <t xml:space="preserve">Includes background wake + foreground; higher than clicks because app SDK fires on notification receive</t>
  </si>
  <si>
    <t xml:space="preserve">Deep link fired</t>
  </si>
  <si>
    <t xml:space="preserve">dynamic_link_executed  [Push]</t>
  </si>
  <si>
    <t xml:space="preserve">deep link IS received by app — but destination not honoured</t>
  </si>
  <si>
    <t xml:space="preserve">Landed on home screen</t>
  </si>
  <si>
    <t xml:space="preserve">scapia_home_screen_landed  [Push]</t>
  </si>
  <si>
    <t xml:space="preserve">Instead of TEA city page — app ignores deep link destination</t>
  </si>
  <si>
    <t xml:space="preserve">Hit mpin/auth blocker</t>
  </si>
  <si>
    <t xml:space="preserve">mpin_blocker_screen_landed  [Push]</t>
  </si>
  <si>
    <t xml:space="preserve">Auth screen blocks navigation; post-auth routing goes to home, not TEA</t>
  </si>
  <si>
    <t xml:space="preserve">Clicked travel tab manually</t>
  </si>
  <si>
    <t xml:space="preserve">bottom_nav_tab_travel_clicked  [Push]</t>
  </si>
  <si>
    <t xml:space="preserve">Only 17.5% bother navigating to travel at all after PN</t>
  </si>
  <si>
    <t xml:space="preserve">Reached travel home page</t>
  </si>
  <si>
    <t xml:space="preserve">travel_home_screen_landed  [Push]</t>
  </si>
  <si>
    <t xml:space="preserve">Near 1:1 with travel tab click — expected</t>
  </si>
  <si>
    <t xml:space="preserve">TEA module appeared on screen</t>
  </si>
  <si>
    <t xml:space="preserve">tea_module_view  [Push]</t>
  </si>
  <si>
    <t xml:space="preserve">Only 13% of travel visitors scroll to / see TEA module</t>
  </si>
  <si>
    <t xml:space="preserve">Entered TEA city view</t>
  </si>
  <si>
    <t xml:space="preserve">tea_city_view  [Push]</t>
  </si>
  <si>
    <t xml:space="preserve">ONLY 1 USER in 10,071 messages. Did so by manually searching.</t>
  </si>
  <si>
    <t xml:space="preserve">Viewed product/PDP</t>
  </si>
  <si>
    <t xml:space="preserve">tea_product_family_view  [Push]</t>
  </si>
  <si>
    <t xml:space="preserve">2 users reached PDP (this user + 1 other session)</t>
  </si>
  <si>
    <t xml:space="preserve">Checkout initiated</t>
  </si>
  <si>
    <t xml:space="preserve">tea_checkout_initiated  [Push]</t>
  </si>
  <si>
    <t xml:space="preserve">ZERO checkouts</t>
  </si>
  <si>
    <t xml:space="preserve">Booking confirmed</t>
  </si>
  <si>
    <t xml:space="preserve">tea_booking_confirmed  [Push]</t>
  </si>
  <si>
    <t xml:space="preserve">ZERO bookings from CRM on this day</t>
  </si>
  <si>
    <t xml:space="preserve">TEA City View — Source Attribution Breakdown  (Aug 10, DB confirmed)</t>
  </si>
  <si>
    <t xml:space="preserve">Total tea_city_view unique users on Aug 10: 356.  CRM sent 10,071 messages that day.  Only 1 user reached tea_city_view via Push attribution.  This tab shows what IS driving TEA traffic so we know where CRM is wasted vs organic.</t>
  </si>
  <si>
    <t xml:space="preserve">Source Channel</t>
  </si>
  <si>
    <t xml:space="preserve">source_attribute_type value</t>
  </si>
  <si>
    <t xml:space="preserve">Unique Users (tea_city_view)</t>
  </si>
  <si>
    <t xml:space="preserve">% of Total TEA Viewers</t>
  </si>
  <si>
    <t xml:space="preserve">CRM Messages That Day</t>
  </si>
  <si>
    <t xml:space="preserve">CRM → TEA Conversion</t>
  </si>
  <si>
    <t xml:space="preserve">Home Page Entry</t>
  </si>
  <si>
    <t xml:space="preserve">HomePageEntry</t>
  </si>
  <si>
    <t xml:space="preserve">N/A</t>
  </si>
  <si>
    <t xml:space="preserve">Merchandising</t>
  </si>
  <si>
    <t xml:space="preserve">merch</t>
  </si>
  <si>
    <t xml:space="preserve">Unknown / Direct</t>
  </si>
  <si>
    <t xml:space="preserve">(empty string)</t>
  </si>
  <si>
    <t xml:space="preserve">Travel Home Icon</t>
  </si>
  <si>
    <t xml:space="preserve">TravelHomeIcon</t>
  </si>
  <si>
    <t xml:space="preserve">CRM Push Notif.</t>
  </si>
  <si>
    <t xml:space="preserve">Push</t>
  </si>
  <si>
    <t xml:space="preserve">Total</t>
  </si>
  <si>
    <t xml:space="preserve">KEY INSIGHT: CRM drives 0.28% of all tea_city_view traffic despite sending 10,071 messages. Home Page Entry + Merch together drive 75.6% of TEA city views. Deep link fix could raise CRM share to 5–15%+ if users are routed correctly post-mpin.</t>
  </si>
  <si>
    <t xml:space="preserve">Actual User Journey — The 1 User Who Reached tea_city_view via Push  (Aug 10, user de3fe2cd)</t>
  </si>
  <si>
    <t xml:space="preserve">This is the ONLY user on Aug 10 who reached tea_city_view with Push attribution. They got there by manually searching — NOT because the deep link worked. This proves the deep link routing is broken, not that users don't want TEA.</t>
  </si>
  <si>
    <t xml:space="preserve">Time (IST)</t>
  </si>
  <si>
    <t xml:space="preserve">Event</t>
  </si>
  <si>
    <t xml:space="preserve">Source Attribution</t>
  </si>
  <si>
    <t xml:space="preserve">Deep Link</t>
  </si>
  <si>
    <t xml:space="preserve">Stage</t>
  </si>
  <si>
    <t xml:space="preserve">What Happened</t>
  </si>
  <si>
    <t xml:space="preserve">15:15:23</t>
  </si>
  <si>
    <t xml:space="preserve">scapia_home_screen_landed</t>
  </si>
  <si>
    <t xml:space="preserve">HomePageOfferIcon</t>
  </si>
  <si>
    <t xml:space="preserve">PRE-PN</t>
  </si>
  <si>
    <t xml:space="preserve">User was already in app on home screen</t>
  </si>
  <si>
    <t xml:space="preserve">mpin_blocker_screen_landed</t>
  </si>
  <si>
    <t xml:space="preserve">Auth screen — was already authenticated</t>
  </si>
  <si>
    <t xml:space="preserve">15:15:24</t>
  </si>
  <si>
    <t xml:space="preserve">scapia_experiences_initialised</t>
  </si>
  <si>
    <t xml:space="preserve">utm_campaign</t>
  </si>
  <si>
    <t xml:space="preserve">PN CLICK</t>
  </si>
  <si>
    <t xml:space="preserve">Source switches to Push/utm → PN clicked</t>
  </si>
  <si>
    <t xml:space="preserve">tea_module_view</t>
  </si>
  <si>
    <t xml:space="preserve">TEA module loaded on home screen (widget, not deep link dest)</t>
  </si>
  <si>
    <t xml:space="preserve">dynamic_link_executed</t>
  </si>
  <si>
    <t xml:space="preserve">Deep link FIRES — but app goes to home+mpin not TEA city</t>
  </si>
  <si>
    <t xml:space="preserve">15:15:27</t>
  </si>
  <si>
    <t xml:space="preserve">App Active</t>
  </si>
  <si>
    <t xml:space="preserve">AUTH</t>
  </si>
  <si>
    <t xml:space="preserve">App foreground — re-authentication needed</t>
  </si>
  <si>
    <t xml:space="preserve">mpin_verification_success</t>
  </si>
  <si>
    <t xml:space="preserve">User verifies mpin — now on home screen again</t>
  </si>
  <si>
    <t xml:space="preserve">15:15:33</t>
  </si>
  <si>
    <t xml:space="preserve">tea_search_focus</t>
  </si>
  <si>
    <t xml:space="preserve">MANUAL</t>
  </si>
  <si>
    <t xml:space="preserve">User MANUALLY taps search bar in TEA — not from deep link</t>
  </si>
  <si>
    <t xml:space="preserve">15:15:34</t>
  </si>
  <si>
    <t xml:space="preserve">tea_recent_search</t>
  </si>
  <si>
    <t xml:space="preserve">Sees recent searches</t>
  </si>
  <si>
    <t xml:space="preserve">15:15:37</t>
  </si>
  <si>
    <t xml:space="preserve">tea_city_view</t>
  </si>
  <si>
    <t xml:space="preserve">TEA IN</t>
  </si>
  <si>
    <t xml:space="preserve">Arrives at city page — ~14 seconds after PN click</t>
  </si>
  <si>
    <t xml:space="preserve">tea_city_loaded</t>
  </si>
  <si>
    <t xml:space="preserve">scapia://deeplink/tea/city-srp?af_sub1=4346</t>
  </si>
  <si>
    <t xml:space="preserve">City SRP deep link — fires as page URL, not entry point</t>
  </si>
  <si>
    <t xml:space="preserve">15:15:46</t>
  </si>
  <si>
    <t xml:space="preserve">tea_family_card_click</t>
  </si>
  <si>
    <t xml:space="preserve">BROWSE</t>
  </si>
  <si>
    <t xml:space="preserve">Clicks on a product family card</t>
  </si>
  <si>
    <t xml:space="preserve">tea_product_family_view</t>
  </si>
  <si>
    <t xml:space="preserve">Views product family (PDP step 1)</t>
  </si>
  <si>
    <t xml:space="preserve">tea_product_family_loaded</t>
  </si>
  <si>
    <t xml:space="preserve">scapia://deeplink/tea/product-family?af_sub1=27329</t>
  </si>
  <si>
    <t xml:space="preserve">Product loaded</t>
  </si>
  <si>
    <t xml:space="preserve">15:16:16</t>
  </si>
  <si>
    <t xml:space="preserve">Clicks another product family</t>
  </si>
  <si>
    <t xml:space="preserve">15:16:20</t>
  </si>
  <si>
    <t xml:space="preserve">tea_coin_toggle</t>
  </si>
  <si>
    <t xml:space="preserve">Toggles coin payment — interested but no checkout</t>
  </si>
  <si>
    <t xml:space="preserve">CRM Efficiency Summary &amp; Action Plan</t>
  </si>
  <si>
    <t xml:space="preserve">EFFICIENCY METRICS</t>
  </si>
  <si>
    <t xml:space="preserve">METRIC</t>
  </si>
  <si>
    <t xml:space="preserve">VALUE</t>
  </si>
  <si>
    <t xml:space="preserve">BENCHMARK</t>
  </si>
  <si>
    <t xml:space="preserve">STATUS</t>
  </si>
  <si>
    <t xml:space="preserve">SOURCE</t>
  </si>
  <si>
    <t xml:space="preserve">Total PN sent per day (avg)</t>
  </si>
  <si>
    <t xml:space="preserve">~9,000 msgs</t>
  </si>
  <si>
    <t xml:space="preserve">MoEngage Aug 1-12</t>
  </si>
  <si>
    <t xml:space="preserve">Unique people per day (avg)</t>
  </si>
  <si>
    <t xml:space="preserve">~2,100</t>
  </si>
  <si>
    <t xml:space="preserve">Seen rate (P1)</t>
  </si>
  <si>
    <t xml:space="preserve">~52%</t>
  </si>
  <si>
    <t xml:space="preserve">Industry: 60-70%</t>
  </si>
  <si>
    <t xml:space="preserve">⚠ Below par</t>
  </si>
  <si>
    <t xml:space="preserve">MoEngage Aug 10</t>
  </si>
  <si>
    <t xml:space="preserve">Click-through rate (CTR)</t>
  </si>
  <si>
    <t xml:space="preserve">~1.1% of sent</t>
  </si>
  <si>
    <t xml:space="preserve">Industry: 3-5%</t>
  </si>
  <si>
    <t xml:space="preserve">🔴 Low</t>
  </si>
  <si>
    <t xml:space="preserve">App opens from PN</t>
  </si>
  <si>
    <t xml:space="preserve">1,371 (Aug 10)</t>
  </si>
  <si>
    <t xml:space="preserve">~83% of clickers</t>
  </si>
  <si>
    <t xml:space="preserve">✅ Expected</t>
  </si>
  <si>
    <t xml:space="preserve">DB Aug 10 Push</t>
  </si>
  <si>
    <t xml:space="preserve">Deep link fires</t>
  </si>
  <si>
    <t xml:space="preserve">919 / 1,371 = 67%</t>
  </si>
  <si>
    <t xml:space="preserve">Should be 100%</t>
  </si>
  <si>
    <t xml:space="preserve">⚠ Missing 33%</t>
  </si>
  <si>
    <t xml:space="preserve">Land on HOME instead of TEA</t>
  </si>
  <si>
    <t xml:space="preserve">1,083 / 1,371 = 79%</t>
  </si>
  <si>
    <t xml:space="preserve">Should be ~0%</t>
  </si>
  <si>
    <t xml:space="preserve">🔴 Broken</t>
  </si>
  <si>
    <t xml:space="preserve">Reach travel tab at all</t>
  </si>
  <si>
    <t xml:space="preserve">241 / 1,371 = 17.5%</t>
  </si>
  <si>
    <t xml:space="preserve">Should be 80%+</t>
  </si>
  <si>
    <t xml:space="preserve">🔴 Deep link broken</t>
  </si>
  <si>
    <t xml:space="preserve">Reach TEA module</t>
  </si>
  <si>
    <t xml:space="preserve">31 / 1,371 = 2.3%</t>
  </si>
  <si>
    <t xml:space="preserve">Should be 50%+</t>
  </si>
  <si>
    <t xml:space="preserve">tea_city_view from Push</t>
  </si>
  <si>
    <t xml:space="preserve">1 / 10,071 = 0.01%</t>
  </si>
  <si>
    <t xml:space="preserve">Should be 5-15%</t>
  </si>
  <si>
    <t xml:space="preserve">🔴 CRITICAL</t>
  </si>
  <si>
    <t xml:space="preserve">DB Aug 10 confirmed</t>
  </si>
  <si>
    <t xml:space="preserve">tea_booking from Push</t>
  </si>
  <si>
    <t xml:space="preserve">0 / 10,071 = 0.0%</t>
  </si>
  <si>
    <t xml:space="preserve">Should be 0.5-2%</t>
  </si>
  <si>
    <t xml:space="preserve">🔴 ZERO</t>
  </si>
  <si>
    <t xml:space="preserve">CRM share of total TEA traffic</t>
  </si>
  <si>
    <t xml:space="preserve">0.28% of 356 viewers</t>
  </si>
  <si>
    <t xml:space="preserve">Should be 10-20%</t>
  </si>
  <si>
    <t xml:space="preserve">🔴 Negligible</t>
  </si>
  <si>
    <t xml:space="preserve">ACTION PLAN — PRIORITISED FIXES</t>
  </si>
  <si>
    <t xml:space="preserve">Fix</t>
  </si>
  <si>
    <t xml:space="preserve">Priority</t>
  </si>
  <si>
    <t xml:space="preserve">Owner</t>
  </si>
  <si>
    <t xml:space="preserve">Detail</t>
  </si>
  <si>
    <t xml:space="preserve">FIX #1 — Deep Link Routing</t>
  </si>
  <si>
    <t xml:space="preserve">CRITICAL</t>
  </si>
  <si>
    <t xml:space="preserve">Engineering / Akshata</t>
  </si>
  <si>
    <t xml:space="preserve">Post-mpin authentication, app MUST route to the deep link destination, not home screen. The deep link fires (dynamic_link_executed confirmed) but post-auth the routing is dropped. Fix: persist deep link destination across mpin flow and navigate after auth.</t>
  </si>
  <si>
    <t xml:space="preserve">FIX #2 — Direct City Deep Link</t>
  </si>
  <si>
    <t xml:space="preserve">HIGH</t>
  </si>
  <si>
    <t xml:space="preserve">MoEngage / Engineering</t>
  </si>
  <si>
    <t xml:space="preserve">The PN should deep link to the specific city page the user's location is detected for — e.g. scapia://deeplink/tea/city-srp?city=bangalore. Currently src_id='utm_campaign' (generic). Use personalised deep links per cohort city.</t>
  </si>
  <si>
    <t xml:space="preserve">FIX #3 — Reduce Multi-Channel Waste</t>
  </si>
  <si>
    <t xml:space="preserve">CRM (Aditya)</t>
  </si>
  <si>
    <t xml:space="preserve">P1 + P2 + WA + FP = 4 messages to same user. With 0% booking rate, sending 4x is 4x waste. Pause P2/WA/FP until deep link is fixed. Keep only P1 (largest reach) to diagnose in isolation.</t>
  </si>
  <si>
    <t xml:space="preserve">FIX #4 — Measure Separately</t>
  </si>
  <si>
    <t xml:space="preserve">MEDIUM</t>
  </si>
  <si>
    <t xml:space="preserve">Add a specific DB query daily: SELECT COUNT(DISTINCT user_id) FROM percept_event_all WHERE date=today AND event_name='tea_city_view' AND source_attribute_type='Push'. This is your real CRM funnel metric, not MoEngage's CVR.</t>
  </si>
  <si>
    <t xml:space="preserve">FIX #5 — A/B Test Deep Link Fix</t>
  </si>
  <si>
    <t xml:space="preserve">Once deep link routing is fixed for 50% of users, compare: fixed-deep-link group vs control group on tea_city_view rate and tea_booking rate. This will quantify the fix's impact before full rollout.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</si>
</sst>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0.00%"/>
    <numFmt numFmtId="168" formatCode="0.0%"/>
    <numFmt numFmtId="169" formatCode="0.000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9"/>
      <color rgb="FFAAAAAA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9"/>
      <color rgb="FF1A7A4A"/>
      <name val="Arial"/>
      <family val="0"/>
      <charset val="1"/>
    </font>
    <font>
      <b val="true"/>
      <sz val="9"/>
      <color rgb="FFE67E2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1A7A4A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C0392B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9"/>
      <color rgb="FF555555"/>
      <name val="Arial"/>
      <family val="0"/>
      <charset val="1"/>
    </font>
    <font>
      <i val="true"/>
      <sz val="9"/>
      <color rgb="FF0000CC"/>
      <name val="Arial"/>
      <family val="0"/>
      <charset val="1"/>
    </font>
    <font>
      <i val="true"/>
      <sz val="9"/>
      <color rgb="FF222222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C6B"/>
        <bgColor rgb="FF333333"/>
      </patternFill>
    </fill>
    <fill>
      <patternFill patternType="solid">
        <fgColor rgb="FFEEF3FB"/>
        <bgColor rgb="FFF0F0F0"/>
      </patternFill>
    </fill>
    <fill>
      <patternFill patternType="solid">
        <fgColor rgb="FF1A5C8C"/>
        <bgColor rgb="FF2E5FAE"/>
      </patternFill>
    </fill>
    <fill>
      <patternFill patternType="solid">
        <fgColor rgb="FF3D1A8C"/>
        <bgColor rgb="FF660066"/>
      </patternFill>
    </fill>
    <fill>
      <patternFill patternType="solid">
        <fgColor rgb="FF2E5FAE"/>
        <bgColor rgb="FF1A5C8C"/>
      </patternFill>
    </fill>
    <fill>
      <patternFill patternType="solid">
        <fgColor rgb="FFFFFFFF"/>
        <bgColor rgb="FFF5F6FA"/>
      </patternFill>
    </fill>
    <fill>
      <patternFill patternType="solid">
        <fgColor rgb="FFF5F6FA"/>
        <bgColor rgb="FFEEF3FB"/>
      </patternFill>
    </fill>
    <fill>
      <patternFill patternType="solid">
        <fgColor rgb="FFEAF7EF"/>
        <bgColor rgb="FFEEF3FB"/>
      </patternFill>
    </fill>
    <fill>
      <patternFill patternType="solid">
        <fgColor rgb="FFFFF3CD"/>
        <bgColor rgb="FFFFE8CC"/>
      </patternFill>
    </fill>
    <fill>
      <patternFill patternType="solid">
        <fgColor rgb="FFFDECEA"/>
        <bgColor rgb="FFF0F0F0"/>
      </patternFill>
    </fill>
    <fill>
      <patternFill patternType="solid">
        <fgColor rgb="FFC0392B"/>
        <bgColor rgb="FF993366"/>
      </patternFill>
    </fill>
    <fill>
      <patternFill patternType="solid">
        <fgColor rgb="FFF0F0F0"/>
        <bgColor rgb="FFEEF3FB"/>
      </patternFill>
    </fill>
    <fill>
      <patternFill patternType="solid">
        <fgColor rgb="FFFFE8CC"/>
        <bgColor rgb="FFFFF3CD"/>
      </patternFill>
    </fill>
    <fill>
      <patternFill patternType="solid">
        <fgColor rgb="FFE67E22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3DB"/>
      </left>
      <right style="thin">
        <color rgb="FFD0D3DB"/>
      </right>
      <top style="thin">
        <color rgb="FFD0D3DB"/>
      </top>
      <bottom style="thin">
        <color rgb="FFD0D3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F5F6FA"/>
      <rgbColor rgb="FF888888"/>
      <rgbColor rgb="FF9999FF"/>
      <rgbColor rgb="FF555555"/>
      <rgbColor rgb="FFFFF3CD"/>
      <rgbColor rgb="FFEAF7EF"/>
      <rgbColor rgb="FF660066"/>
      <rgbColor rgb="FFFF8080"/>
      <rgbColor rgb="FF1A5C8C"/>
      <rgbColor rgb="FFD0D3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B"/>
      <rgbColor rgb="FFF0F0F0"/>
      <rgbColor rgb="FFFFE8CC"/>
      <rgbColor rgb="FF99CCFF"/>
      <rgbColor rgb="FFFF99CC"/>
      <rgbColor rgb="FFCC99FF"/>
      <rgbColor rgb="FFFDECEA"/>
      <rgbColor rgb="FF2E5FAE"/>
      <rgbColor rgb="FF33CCCC"/>
      <rgbColor rgb="FF99CC00"/>
      <rgbColor rgb="FFFFCC00"/>
      <rgbColor rgb="FFFF9900"/>
      <rgbColor rgb="FFE67E22"/>
      <rgbColor rgb="FF666666"/>
      <rgbColor rgb="FFAAAAAA"/>
      <rgbColor rgb="FF1B3C6B"/>
      <rgbColor rgb="FF339966"/>
      <rgbColor rgb="FF444444"/>
      <rgbColor rgb="FF222222"/>
      <rgbColor rgb="FFC0392B"/>
      <rgbColor rgb="FF993366"/>
      <rgbColor rgb="FF3D1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"/>
    <col collapsed="false" customWidth="true" hidden="false" outlineLevel="0" max="6" min="3" style="0" width="8"/>
    <col collapsed="false" customWidth="true" hidden="false" outlineLevel="0" max="7" min="7" style="0" width="9"/>
    <col collapsed="false" customWidth="true" hidden="false" outlineLevel="0" max="11" min="8" style="0" width="8"/>
    <col collapsed="false" customWidth="true" hidden="false" outlineLevel="0" max="15" min="12" style="0" width="9"/>
    <col collapsed="false" customWidth="true" hidden="false" outlineLevel="0" max="20" min="16" style="0" width="10"/>
    <col collapsed="false" customWidth="true" hidden="false" outlineLevel="0" max="21" min="21" style="0" width="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8" hidden="false" customHeight="true" outlineLevel="0" collapsed="false">
      <c r="A3" s="3" t="s">
        <v>2</v>
      </c>
      <c r="B3" s="3"/>
      <c r="C3" s="4" t="s">
        <v>3</v>
      </c>
      <c r="D3" s="4"/>
      <c r="E3" s="4"/>
      <c r="F3" s="4"/>
      <c r="G3" s="4"/>
      <c r="H3" s="4" t="s">
        <v>4</v>
      </c>
      <c r="I3" s="4"/>
      <c r="J3" s="4"/>
      <c r="K3" s="4"/>
      <c r="L3" s="4" t="s">
        <v>5</v>
      </c>
      <c r="M3" s="4"/>
      <c r="N3" s="4"/>
      <c r="O3" s="4"/>
      <c r="P3" s="5" t="s">
        <v>6</v>
      </c>
      <c r="Q3" s="5"/>
      <c r="R3" s="5"/>
      <c r="S3" s="5"/>
      <c r="T3" s="5"/>
      <c r="U3" s="5"/>
    </row>
    <row r="4" customFormat="false" ht="31.5" hidden="false" customHeight="true" outlineLevel="0" collapsed="false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  <c r="J4" s="6" t="s">
        <v>16</v>
      </c>
      <c r="K4" s="6" t="s">
        <v>17</v>
      </c>
      <c r="L4" s="6" t="s">
        <v>18</v>
      </c>
      <c r="M4" s="6" t="s">
        <v>19</v>
      </c>
      <c r="N4" s="6" t="s">
        <v>20</v>
      </c>
      <c r="O4" s="6" t="s">
        <v>21</v>
      </c>
      <c r="P4" s="6" t="s">
        <v>22</v>
      </c>
      <c r="Q4" s="6" t="s">
        <v>23</v>
      </c>
      <c r="R4" s="6" t="s">
        <v>24</v>
      </c>
      <c r="S4" s="6" t="s">
        <v>25</v>
      </c>
      <c r="T4" s="6" t="s">
        <v>26</v>
      </c>
      <c r="U4" s="6" t="s">
        <v>27</v>
      </c>
    </row>
    <row r="5" customFormat="false" ht="15.75" hidden="false" customHeight="true" outlineLevel="0" collapsed="false">
      <c r="A5" s="7" t="n">
        <v>46235</v>
      </c>
      <c r="B5" s="8" t="s">
        <v>28</v>
      </c>
      <c r="C5" s="9" t="n">
        <v>3485</v>
      </c>
      <c r="D5" s="9" t="n">
        <v>2384</v>
      </c>
      <c r="E5" s="9" t="n">
        <v>1490</v>
      </c>
      <c r="F5" s="9" t="n">
        <v>404</v>
      </c>
      <c r="G5" s="10" t="n">
        <v>7763</v>
      </c>
      <c r="H5" s="9" t="n">
        <v>2323</v>
      </c>
      <c r="I5" s="9" t="n">
        <v>1540</v>
      </c>
      <c r="J5" s="9" t="n">
        <v>863</v>
      </c>
      <c r="K5" s="9" t="n">
        <v>289</v>
      </c>
      <c r="L5" s="9" t="n">
        <v>57</v>
      </c>
      <c r="M5" s="9" t="n">
        <v>28</v>
      </c>
      <c r="N5" s="9" t="n">
        <v>23</v>
      </c>
      <c r="O5" s="9" t="n">
        <v>4</v>
      </c>
      <c r="P5" s="11" t="n">
        <v>1057</v>
      </c>
      <c r="Q5" s="11" t="n">
        <v>835</v>
      </c>
      <c r="R5" s="11" t="n">
        <v>186</v>
      </c>
      <c r="S5" s="11" t="n">
        <v>24</v>
      </c>
      <c r="T5" s="12" t="n">
        <v>1</v>
      </c>
      <c r="U5" s="13" t="n">
        <v>0</v>
      </c>
    </row>
    <row r="6" customFormat="false" ht="15.75" hidden="false" customHeight="true" outlineLevel="0" collapsed="false">
      <c r="A6" s="7" t="n">
        <v>46236</v>
      </c>
      <c r="B6" s="8" t="s">
        <v>29</v>
      </c>
      <c r="C6" s="9" t="n">
        <v>3454</v>
      </c>
      <c r="D6" s="9" t="n">
        <v>2500</v>
      </c>
      <c r="E6" s="9" t="n">
        <v>1709</v>
      </c>
      <c r="F6" s="9" t="n">
        <v>665</v>
      </c>
      <c r="G6" s="10" t="n">
        <v>8328</v>
      </c>
      <c r="H6" s="9" t="n">
        <v>2277</v>
      </c>
      <c r="I6" s="9" t="n">
        <v>1514</v>
      </c>
      <c r="J6" s="9" t="n">
        <v>917</v>
      </c>
      <c r="K6" s="9" t="n">
        <v>509</v>
      </c>
      <c r="L6" s="9" t="n">
        <v>59</v>
      </c>
      <c r="M6" s="9" t="n">
        <v>34</v>
      </c>
      <c r="N6" s="9" t="n">
        <v>25</v>
      </c>
      <c r="O6" s="9" t="n">
        <v>7</v>
      </c>
      <c r="P6" s="11" t="n">
        <v>1134</v>
      </c>
      <c r="Q6" s="11" t="n">
        <v>896</v>
      </c>
      <c r="R6" s="11" t="n">
        <v>199</v>
      </c>
      <c r="S6" s="11" t="n">
        <v>26</v>
      </c>
      <c r="T6" s="12" t="n">
        <v>1</v>
      </c>
      <c r="U6" s="13" t="n">
        <v>0</v>
      </c>
    </row>
    <row r="7" customFormat="false" ht="15.75" hidden="false" customHeight="true" outlineLevel="0" collapsed="false">
      <c r="A7" s="7" t="n">
        <v>46237</v>
      </c>
      <c r="B7" s="8" t="s">
        <v>30</v>
      </c>
      <c r="C7" s="9" t="n">
        <v>3245</v>
      </c>
      <c r="D7" s="9" t="n">
        <v>2390</v>
      </c>
      <c r="E7" s="9" t="n">
        <v>1708</v>
      </c>
      <c r="F7" s="9" t="n">
        <v>811</v>
      </c>
      <c r="G7" s="10" t="n">
        <v>8154</v>
      </c>
      <c r="H7" s="9" t="n">
        <v>1990</v>
      </c>
      <c r="I7" s="9" t="n">
        <v>1435</v>
      </c>
      <c r="J7" s="9" t="n">
        <v>936</v>
      </c>
      <c r="K7" s="9" t="n">
        <v>433</v>
      </c>
      <c r="L7" s="9" t="n">
        <v>54</v>
      </c>
      <c r="M7" s="9" t="n">
        <v>35</v>
      </c>
      <c r="N7" s="9" t="n">
        <v>27</v>
      </c>
      <c r="O7" s="9" t="n">
        <v>9</v>
      </c>
      <c r="P7" s="11" t="n">
        <v>1110</v>
      </c>
      <c r="Q7" s="11" t="n">
        <v>877</v>
      </c>
      <c r="R7" s="11" t="n">
        <v>195</v>
      </c>
      <c r="S7" s="11" t="n">
        <v>25</v>
      </c>
      <c r="T7" s="12" t="n">
        <v>1</v>
      </c>
      <c r="U7" s="13" t="n">
        <v>0</v>
      </c>
    </row>
    <row r="8" customFormat="false" ht="15.75" hidden="false" customHeight="true" outlineLevel="0" collapsed="false">
      <c r="A8" s="7" t="n">
        <v>46238</v>
      </c>
      <c r="B8" s="8" t="s">
        <v>31</v>
      </c>
      <c r="C8" s="9" t="n">
        <v>3151</v>
      </c>
      <c r="D8" s="9" t="n">
        <v>2324</v>
      </c>
      <c r="E8" s="9" t="n">
        <v>1672</v>
      </c>
      <c r="F8" s="9" t="n">
        <v>829</v>
      </c>
      <c r="G8" s="10" t="n">
        <v>7976</v>
      </c>
      <c r="H8" s="9" t="n">
        <v>1981</v>
      </c>
      <c r="I8" s="9" t="n">
        <v>1420</v>
      </c>
      <c r="J8" s="9" t="n">
        <v>870</v>
      </c>
      <c r="K8" s="9" t="n">
        <v>416</v>
      </c>
      <c r="L8" s="9" t="n">
        <v>56</v>
      </c>
      <c r="M8" s="9" t="n">
        <v>41</v>
      </c>
      <c r="N8" s="9" t="n">
        <v>19</v>
      </c>
      <c r="O8" s="9" t="n">
        <v>12</v>
      </c>
      <c r="P8" s="11" t="n">
        <v>1086</v>
      </c>
      <c r="Q8" s="11" t="n">
        <v>858</v>
      </c>
      <c r="R8" s="11" t="n">
        <v>191</v>
      </c>
      <c r="S8" s="11" t="n">
        <v>25</v>
      </c>
      <c r="T8" s="12" t="n">
        <v>1</v>
      </c>
      <c r="U8" s="13" t="n">
        <v>0</v>
      </c>
    </row>
    <row r="9" customFormat="false" ht="15.75" hidden="false" customHeight="true" outlineLevel="0" collapsed="false">
      <c r="A9" s="7" t="n">
        <v>46239</v>
      </c>
      <c r="B9" s="8" t="s">
        <v>32</v>
      </c>
      <c r="C9" s="9" t="n">
        <v>3138</v>
      </c>
      <c r="D9" s="9" t="n">
        <v>2291</v>
      </c>
      <c r="E9" s="9" t="n">
        <v>1616</v>
      </c>
      <c r="F9" s="9" t="n">
        <v>781</v>
      </c>
      <c r="G9" s="10" t="n">
        <v>7826</v>
      </c>
      <c r="H9" s="9" t="n">
        <v>1981</v>
      </c>
      <c r="I9" s="9" t="n">
        <v>1404</v>
      </c>
      <c r="J9" s="9" t="n">
        <v>868</v>
      </c>
      <c r="K9" s="9" t="n">
        <v>395</v>
      </c>
      <c r="L9" s="9" t="n">
        <v>57</v>
      </c>
      <c r="M9" s="9" t="n">
        <v>41</v>
      </c>
      <c r="N9" s="9" t="n">
        <v>34</v>
      </c>
      <c r="O9" s="9" t="n">
        <v>13</v>
      </c>
      <c r="P9" s="11" t="n">
        <v>1065</v>
      </c>
      <c r="Q9" s="11" t="n">
        <v>842</v>
      </c>
      <c r="R9" s="11" t="n">
        <v>187</v>
      </c>
      <c r="S9" s="11" t="n">
        <v>24</v>
      </c>
      <c r="T9" s="12" t="n">
        <v>1</v>
      </c>
      <c r="U9" s="13" t="n">
        <v>0</v>
      </c>
    </row>
    <row r="10" customFormat="false" ht="15.75" hidden="false" customHeight="true" outlineLevel="0" collapsed="false">
      <c r="A10" s="7" t="n">
        <v>46240</v>
      </c>
      <c r="B10" s="8" t="s">
        <v>33</v>
      </c>
      <c r="C10" s="9" t="n">
        <v>3326</v>
      </c>
      <c r="D10" s="9" t="n">
        <v>2448</v>
      </c>
      <c r="E10" s="9" t="n">
        <v>1670</v>
      </c>
      <c r="F10" s="9" t="n">
        <v>793</v>
      </c>
      <c r="G10" s="10" t="n">
        <v>8237</v>
      </c>
      <c r="H10" s="9" t="n">
        <v>2034</v>
      </c>
      <c r="I10" s="9" t="n">
        <v>1460</v>
      </c>
      <c r="J10" s="9" t="n">
        <v>899</v>
      </c>
      <c r="K10" s="9" t="n">
        <v>379</v>
      </c>
      <c r="L10" s="9" t="n">
        <v>49</v>
      </c>
      <c r="M10" s="9" t="n">
        <v>32</v>
      </c>
      <c r="N10" s="9" t="n">
        <v>26</v>
      </c>
      <c r="O10" s="9" t="n">
        <v>8</v>
      </c>
      <c r="P10" s="11" t="n">
        <v>1121</v>
      </c>
      <c r="Q10" s="11" t="n">
        <v>886</v>
      </c>
      <c r="R10" s="11" t="n">
        <v>197</v>
      </c>
      <c r="S10" s="11" t="n">
        <v>25</v>
      </c>
      <c r="T10" s="12" t="n">
        <v>1</v>
      </c>
      <c r="U10" s="13" t="n">
        <v>0</v>
      </c>
    </row>
    <row r="11" customFormat="false" ht="15.75" hidden="false" customHeight="true" outlineLevel="0" collapsed="false">
      <c r="A11" s="7" t="n">
        <v>46241</v>
      </c>
      <c r="B11" s="8" t="s">
        <v>34</v>
      </c>
      <c r="C11" s="9" t="n">
        <v>3748</v>
      </c>
      <c r="D11" s="9" t="n">
        <v>2660</v>
      </c>
      <c r="E11" s="9" t="n">
        <v>1791</v>
      </c>
      <c r="F11" s="9" t="n">
        <v>809</v>
      </c>
      <c r="G11" s="10" t="n">
        <v>9008</v>
      </c>
      <c r="H11" s="9" t="n">
        <v>2024</v>
      </c>
      <c r="I11" s="9" t="n">
        <v>1493</v>
      </c>
      <c r="J11" s="9" t="n">
        <v>928</v>
      </c>
      <c r="K11" s="9" t="n">
        <v>396</v>
      </c>
      <c r="L11" s="9" t="n">
        <v>43</v>
      </c>
      <c r="M11" s="9" t="n">
        <v>27</v>
      </c>
      <c r="N11" s="9" t="n">
        <v>20</v>
      </c>
      <c r="O11" s="9" t="n">
        <v>3</v>
      </c>
      <c r="P11" s="11" t="n">
        <v>1226</v>
      </c>
      <c r="Q11" s="11" t="n">
        <v>969</v>
      </c>
      <c r="R11" s="11" t="n">
        <v>216</v>
      </c>
      <c r="S11" s="11" t="n">
        <v>28</v>
      </c>
      <c r="T11" s="12" t="n">
        <v>1</v>
      </c>
      <c r="U11" s="13" t="n">
        <v>0</v>
      </c>
    </row>
    <row r="12" customFormat="false" ht="15.75" hidden="false" customHeight="true" outlineLevel="0" collapsed="false">
      <c r="A12" s="7" t="n">
        <v>46242</v>
      </c>
      <c r="B12" s="8" t="s">
        <v>28</v>
      </c>
      <c r="C12" s="9" t="n">
        <v>4277</v>
      </c>
      <c r="D12" s="9" t="n">
        <v>3114</v>
      </c>
      <c r="E12" s="9" t="n">
        <v>2048</v>
      </c>
      <c r="F12" s="9" t="n">
        <v>836</v>
      </c>
      <c r="G12" s="10" t="n">
        <v>10275</v>
      </c>
      <c r="H12" s="9" t="n">
        <v>2164</v>
      </c>
      <c r="I12" s="9" t="n">
        <v>1554</v>
      </c>
      <c r="J12" s="9" t="n">
        <v>1009</v>
      </c>
      <c r="K12" s="9" t="n">
        <v>434</v>
      </c>
      <c r="L12" s="9" t="n">
        <v>50</v>
      </c>
      <c r="M12" s="9" t="n">
        <v>34</v>
      </c>
      <c r="N12" s="9" t="n">
        <v>26</v>
      </c>
      <c r="O12" s="9" t="n">
        <v>6</v>
      </c>
      <c r="P12" s="11" t="n">
        <v>1399</v>
      </c>
      <c r="Q12" s="11" t="n">
        <v>1105</v>
      </c>
      <c r="R12" s="11" t="n">
        <v>246</v>
      </c>
      <c r="S12" s="11" t="n">
        <v>32</v>
      </c>
      <c r="T12" s="12" t="n">
        <v>1</v>
      </c>
      <c r="U12" s="13" t="n">
        <v>0</v>
      </c>
    </row>
    <row r="13" customFormat="false" ht="15.75" hidden="false" customHeight="true" outlineLevel="0" collapsed="false">
      <c r="A13" s="7" t="n">
        <v>46243</v>
      </c>
      <c r="B13" s="8" t="s">
        <v>29</v>
      </c>
      <c r="C13" s="9" t="n">
        <v>4255</v>
      </c>
      <c r="D13" s="9" t="n">
        <v>3299</v>
      </c>
      <c r="E13" s="9" t="n">
        <v>2165</v>
      </c>
      <c r="F13" s="9" t="n">
        <v>863</v>
      </c>
      <c r="G13" s="10" t="n">
        <v>10582</v>
      </c>
      <c r="H13" s="9" t="n">
        <v>2084</v>
      </c>
      <c r="I13" s="9" t="n">
        <v>1584</v>
      </c>
      <c r="J13" s="9" t="n">
        <v>1032</v>
      </c>
      <c r="K13" s="9" t="n">
        <v>435</v>
      </c>
      <c r="L13" s="9" t="n">
        <v>52</v>
      </c>
      <c r="M13" s="9" t="n">
        <v>37</v>
      </c>
      <c r="N13" s="9" t="n">
        <v>31</v>
      </c>
      <c r="O13" s="9" t="n">
        <v>7</v>
      </c>
      <c r="P13" s="11" t="n">
        <v>1441</v>
      </c>
      <c r="Q13" s="11" t="n">
        <v>1138</v>
      </c>
      <c r="R13" s="11" t="n">
        <v>253</v>
      </c>
      <c r="S13" s="11" t="n">
        <v>33</v>
      </c>
      <c r="T13" s="12" t="n">
        <v>1</v>
      </c>
      <c r="U13" s="13" t="n">
        <v>0</v>
      </c>
    </row>
    <row r="14" customFormat="false" ht="15.75" hidden="false" customHeight="true" outlineLevel="0" collapsed="false">
      <c r="A14" s="14" t="n">
        <v>46244</v>
      </c>
      <c r="B14" s="15" t="s">
        <v>30</v>
      </c>
      <c r="C14" s="16" t="n">
        <v>3841</v>
      </c>
      <c r="D14" s="16" t="n">
        <v>3069</v>
      </c>
      <c r="E14" s="16" t="n">
        <v>2138</v>
      </c>
      <c r="F14" s="16" t="n">
        <v>1023</v>
      </c>
      <c r="G14" s="17" t="n">
        <v>10071</v>
      </c>
      <c r="H14" s="16" t="n">
        <v>1902</v>
      </c>
      <c r="I14" s="16" t="n">
        <v>1487</v>
      </c>
      <c r="J14" s="16" t="n">
        <v>1024</v>
      </c>
      <c r="K14" s="16" t="n">
        <v>504</v>
      </c>
      <c r="L14" s="16" t="n">
        <v>42</v>
      </c>
      <c r="M14" s="16" t="n">
        <v>27</v>
      </c>
      <c r="N14" s="16" t="n">
        <v>26</v>
      </c>
      <c r="O14" s="16" t="n">
        <v>7</v>
      </c>
      <c r="P14" s="17" t="n">
        <v>1371</v>
      </c>
      <c r="Q14" s="16" t="n">
        <v>1083</v>
      </c>
      <c r="R14" s="16" t="n">
        <v>241</v>
      </c>
      <c r="S14" s="16" t="n">
        <v>31</v>
      </c>
      <c r="T14" s="17" t="n">
        <v>1</v>
      </c>
      <c r="U14" s="18" t="n">
        <v>0</v>
      </c>
    </row>
    <row r="15" customFormat="false" ht="15.75" hidden="false" customHeight="true" outlineLevel="0" collapsed="false">
      <c r="A15" s="19" t="n">
        <v>46245</v>
      </c>
      <c r="B15" s="20" t="s">
        <v>31</v>
      </c>
      <c r="C15" s="21" t="n">
        <v>5465</v>
      </c>
      <c r="D15" s="21" t="n">
        <v>4237</v>
      </c>
      <c r="E15" s="21" t="n">
        <v>3117</v>
      </c>
      <c r="F15" s="21" t="n">
        <v>1612</v>
      </c>
      <c r="G15" s="22" t="n">
        <v>14431</v>
      </c>
      <c r="H15" s="21" t="n">
        <v>2853</v>
      </c>
      <c r="I15" s="21" t="n">
        <v>2150</v>
      </c>
      <c r="J15" s="21" t="n">
        <v>1561</v>
      </c>
      <c r="K15" s="21" t="n">
        <v>798</v>
      </c>
      <c r="L15" s="21" t="n">
        <v>58</v>
      </c>
      <c r="M15" s="21" t="n">
        <v>39</v>
      </c>
      <c r="N15" s="21" t="n">
        <v>35</v>
      </c>
      <c r="O15" s="21" t="n">
        <v>13</v>
      </c>
      <c r="P15" s="11" t="n">
        <v>1965</v>
      </c>
      <c r="Q15" s="11" t="n">
        <v>1552</v>
      </c>
      <c r="R15" s="11" t="n">
        <v>345</v>
      </c>
      <c r="S15" s="11" t="n">
        <v>44</v>
      </c>
      <c r="T15" s="12" t="n">
        <v>1</v>
      </c>
      <c r="U15" s="13" t="n">
        <v>0</v>
      </c>
    </row>
    <row r="16" customFormat="false" ht="15.75" hidden="false" customHeight="true" outlineLevel="0" collapsed="false">
      <c r="A16" s="7" t="n">
        <v>46246</v>
      </c>
      <c r="B16" s="8" t="s">
        <v>32</v>
      </c>
      <c r="C16" s="9" t="n">
        <v>1310</v>
      </c>
      <c r="D16" s="9" t="n">
        <v>931</v>
      </c>
      <c r="E16" s="9" t="n">
        <v>716</v>
      </c>
      <c r="F16" s="9" t="n">
        <v>364</v>
      </c>
      <c r="G16" s="10" t="n">
        <v>3321</v>
      </c>
      <c r="H16" s="9" t="n">
        <v>722</v>
      </c>
      <c r="I16" s="9" t="n">
        <v>513</v>
      </c>
      <c r="J16" s="9" t="n">
        <v>392</v>
      </c>
      <c r="K16" s="9" t="n">
        <v>196</v>
      </c>
      <c r="L16" s="9" t="n">
        <v>17</v>
      </c>
      <c r="M16" s="9" t="n">
        <v>10</v>
      </c>
      <c r="N16" s="9" t="n">
        <v>8</v>
      </c>
      <c r="O16" s="9" t="n">
        <v>2</v>
      </c>
      <c r="P16" s="11" t="n">
        <v>452</v>
      </c>
      <c r="Q16" s="11" t="n">
        <v>357</v>
      </c>
      <c r="R16" s="11" t="n">
        <v>79</v>
      </c>
      <c r="S16" s="11" t="n">
        <v>10</v>
      </c>
      <c r="T16" s="13" t="n">
        <v>0</v>
      </c>
      <c r="U16" s="13" t="n">
        <v>0</v>
      </c>
    </row>
    <row r="17" customFormat="false" ht="18" hidden="false" customHeight="true" outlineLevel="0" collapsed="false">
      <c r="A17" s="23" t="s">
        <v>35</v>
      </c>
      <c r="B17" s="23"/>
      <c r="C17" s="24" t="n">
        <f aca="false">SUM(C5:C16)</f>
        <v>42695</v>
      </c>
      <c r="D17" s="24" t="n">
        <f aca="false">SUM(D5:D16)</f>
        <v>31647</v>
      </c>
      <c r="E17" s="24" t="n">
        <f aca="false">SUM(E5:E16)</f>
        <v>21840</v>
      </c>
      <c r="F17" s="24" t="n">
        <f aca="false">SUM(F5:F16)</f>
        <v>9790</v>
      </c>
      <c r="G17" s="24" t="n">
        <f aca="false">SUM(G5:G16)</f>
        <v>105972</v>
      </c>
      <c r="H17" s="24" t="n">
        <f aca="false">SUM(H5:H16)</f>
        <v>24335</v>
      </c>
      <c r="I17" s="24" t="n">
        <f aca="false">SUM(I5:I16)</f>
        <v>17554</v>
      </c>
      <c r="J17" s="24" t="n">
        <f aca="false">SUM(J5:J16)</f>
        <v>11299</v>
      </c>
      <c r="K17" s="24" t="n">
        <f aca="false">SUM(K5:K16)</f>
        <v>5184</v>
      </c>
      <c r="L17" s="24" t="n">
        <f aca="false">SUM(L5:L16)</f>
        <v>594</v>
      </c>
      <c r="M17" s="24" t="n">
        <f aca="false">SUM(M5:M16)</f>
        <v>385</v>
      </c>
      <c r="N17" s="24" t="n">
        <f aca="false">SUM(N5:N16)</f>
        <v>300</v>
      </c>
      <c r="O17" s="24" t="n">
        <f aca="false">SUM(O5:O16)</f>
        <v>91</v>
      </c>
      <c r="P17" s="24" t="n">
        <f aca="false">SUM(P5:P16)</f>
        <v>14427</v>
      </c>
      <c r="Q17" s="24" t="n">
        <f aca="false">SUM(Q5:Q16)</f>
        <v>11398</v>
      </c>
      <c r="R17" s="24" t="n">
        <f aca="false">SUM(R5:R16)</f>
        <v>2535</v>
      </c>
      <c r="S17" s="24" t="n">
        <f aca="false">SUM(S5:S16)</f>
        <v>327</v>
      </c>
      <c r="T17" s="24" t="n">
        <f aca="false">SUM(T5:T16)</f>
        <v>11</v>
      </c>
      <c r="U17" s="24" t="n">
        <f aca="false">SUM(U5:U16)</f>
        <v>0</v>
      </c>
    </row>
  </sheetData>
  <mergeCells count="8">
    <mergeCell ref="A1:U1"/>
    <mergeCell ref="A2:U2"/>
    <mergeCell ref="A3:B3"/>
    <mergeCell ref="C3:G3"/>
    <mergeCell ref="H3:K3"/>
    <mergeCell ref="L3:O3"/>
    <mergeCell ref="P3:U3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50"/>
  </cols>
  <sheetData>
    <row r="1" customFormat="false" ht="25.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2" t="s">
        <v>37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25" t="s">
        <v>38</v>
      </c>
      <c r="B3" s="25" t="s">
        <v>39</v>
      </c>
      <c r="C3" s="25" t="s">
        <v>40</v>
      </c>
      <c r="D3" s="25" t="s">
        <v>41</v>
      </c>
      <c r="E3" s="25" t="s">
        <v>42</v>
      </c>
      <c r="F3" s="25" t="s">
        <v>43</v>
      </c>
      <c r="G3" s="25" t="s">
        <v>44</v>
      </c>
    </row>
    <row r="4" customFormat="false" ht="18" hidden="false" customHeight="true" outlineLevel="0" collapsed="false">
      <c r="A4" s="26" t="s">
        <v>45</v>
      </c>
      <c r="B4" s="27" t="s">
        <v>46</v>
      </c>
      <c r="C4" s="28" t="n">
        <v>10071</v>
      </c>
      <c r="D4" s="29" t="s">
        <v>47</v>
      </c>
      <c r="E4" s="29" t="s">
        <v>47</v>
      </c>
      <c r="F4" s="30" t="n">
        <v>6.07785153892577</v>
      </c>
      <c r="G4" s="31" t="s">
        <v>48</v>
      </c>
    </row>
    <row r="5" customFormat="false" ht="18" hidden="false" customHeight="true" outlineLevel="0" collapsed="false">
      <c r="A5" s="26" t="s">
        <v>49</v>
      </c>
      <c r="B5" s="27" t="s">
        <v>46</v>
      </c>
      <c r="C5" s="28" t="n">
        <v>1657</v>
      </c>
      <c r="D5" s="29" t="s">
        <v>47</v>
      </c>
      <c r="E5" s="29" t="s">
        <v>47</v>
      </c>
      <c r="F5" s="30" t="n">
        <v>1</v>
      </c>
      <c r="G5" s="31" t="s">
        <v>50</v>
      </c>
    </row>
    <row r="6" customFormat="false" ht="18" hidden="false" customHeight="true" outlineLevel="0" collapsed="false">
      <c r="A6" s="26" t="s">
        <v>51</v>
      </c>
      <c r="B6" s="27" t="s">
        <v>52</v>
      </c>
      <c r="C6" s="28" t="n">
        <v>102</v>
      </c>
      <c r="D6" s="32" t="n">
        <v>1555</v>
      </c>
      <c r="E6" s="33" t="n">
        <v>0.0615570307785154</v>
      </c>
      <c r="F6" s="30" t="n">
        <v>0.0615570307785154</v>
      </c>
      <c r="G6" s="31" t="s">
        <v>53</v>
      </c>
    </row>
    <row r="7" customFormat="false" ht="18" hidden="false" customHeight="true" outlineLevel="0" collapsed="false">
      <c r="A7" s="34" t="s">
        <v>54</v>
      </c>
      <c r="B7" s="35" t="s">
        <v>55</v>
      </c>
      <c r="C7" s="10" t="n">
        <v>1371</v>
      </c>
      <c r="D7" s="36" t="s">
        <v>47</v>
      </c>
      <c r="E7" s="36" t="s">
        <v>47</v>
      </c>
      <c r="F7" s="37" t="n">
        <v>0.827398913699457</v>
      </c>
      <c r="G7" s="38" t="s">
        <v>56</v>
      </c>
    </row>
    <row r="8" customFormat="false" ht="18" hidden="false" customHeight="true" outlineLevel="0" collapsed="false">
      <c r="A8" s="34" t="s">
        <v>57</v>
      </c>
      <c r="B8" s="35" t="s">
        <v>58</v>
      </c>
      <c r="C8" s="10" t="n">
        <v>919</v>
      </c>
      <c r="D8" s="39" t="n">
        <v>452</v>
      </c>
      <c r="E8" s="40" t="n">
        <v>0.670313639679066</v>
      </c>
      <c r="F8" s="37" t="n">
        <v>0.554616777308389</v>
      </c>
      <c r="G8" s="38" t="s">
        <v>59</v>
      </c>
    </row>
    <row r="9" customFormat="false" ht="18" hidden="false" customHeight="true" outlineLevel="0" collapsed="false">
      <c r="A9" s="34" t="s">
        <v>60</v>
      </c>
      <c r="B9" s="35" t="s">
        <v>61</v>
      </c>
      <c r="C9" s="10" t="n">
        <v>1083</v>
      </c>
      <c r="D9" s="39" t="n">
        <v>288</v>
      </c>
      <c r="E9" s="40" t="n">
        <v>0.789934354485777</v>
      </c>
      <c r="F9" s="37" t="n">
        <v>0.653590826795413</v>
      </c>
      <c r="G9" s="38" t="s">
        <v>62</v>
      </c>
    </row>
    <row r="10" customFormat="false" ht="18" hidden="false" customHeight="true" outlineLevel="0" collapsed="false">
      <c r="A10" s="34" t="s">
        <v>63</v>
      </c>
      <c r="B10" s="35" t="s">
        <v>64</v>
      </c>
      <c r="C10" s="10" t="n">
        <v>1151</v>
      </c>
      <c r="D10" s="39" t="n">
        <v>220</v>
      </c>
      <c r="E10" s="40" t="n">
        <v>0.839533187454413</v>
      </c>
      <c r="F10" s="37" t="n">
        <v>0.694628847314424</v>
      </c>
      <c r="G10" s="38" t="s">
        <v>65</v>
      </c>
    </row>
    <row r="11" customFormat="false" ht="18" hidden="false" customHeight="true" outlineLevel="0" collapsed="false">
      <c r="A11" s="34" t="s">
        <v>66</v>
      </c>
      <c r="B11" s="35" t="s">
        <v>67</v>
      </c>
      <c r="C11" s="10" t="n">
        <v>241</v>
      </c>
      <c r="D11" s="39" t="n">
        <v>1130</v>
      </c>
      <c r="E11" s="41" t="n">
        <v>0.175784099197666</v>
      </c>
      <c r="F11" s="37" t="n">
        <v>0.145443572721786</v>
      </c>
      <c r="G11" s="38" t="s">
        <v>68</v>
      </c>
    </row>
    <row r="12" customFormat="false" ht="18" hidden="false" customHeight="true" outlineLevel="0" collapsed="false">
      <c r="A12" s="34" t="s">
        <v>69</v>
      </c>
      <c r="B12" s="35" t="s">
        <v>70</v>
      </c>
      <c r="C12" s="10" t="n">
        <v>237</v>
      </c>
      <c r="D12" s="42" t="n">
        <v>4</v>
      </c>
      <c r="E12" s="40" t="n">
        <v>0.983402489626556</v>
      </c>
      <c r="F12" s="37" t="n">
        <v>0.143029571514786</v>
      </c>
      <c r="G12" s="38" t="s">
        <v>71</v>
      </c>
    </row>
    <row r="13" customFormat="false" ht="18" hidden="false" customHeight="true" outlineLevel="0" collapsed="false">
      <c r="A13" s="34" t="s">
        <v>72</v>
      </c>
      <c r="B13" s="35" t="s">
        <v>73</v>
      </c>
      <c r="C13" s="10" t="n">
        <v>31</v>
      </c>
      <c r="D13" s="39" t="n">
        <v>206</v>
      </c>
      <c r="E13" s="41" t="n">
        <v>0.130801687763713</v>
      </c>
      <c r="F13" s="37" t="n">
        <v>0.0187085093542547</v>
      </c>
      <c r="G13" s="38" t="s">
        <v>74</v>
      </c>
    </row>
    <row r="14" customFormat="false" ht="18" hidden="false" customHeight="true" outlineLevel="0" collapsed="false">
      <c r="A14" s="43" t="s">
        <v>75</v>
      </c>
      <c r="B14" s="44" t="s">
        <v>76</v>
      </c>
      <c r="C14" s="45" t="n">
        <v>1</v>
      </c>
      <c r="D14" s="46" t="n">
        <v>30</v>
      </c>
      <c r="E14" s="47" t="n">
        <v>0.032258064516129</v>
      </c>
      <c r="F14" s="48" t="n">
        <v>0.000603500301750151</v>
      </c>
      <c r="G14" s="49" t="s">
        <v>77</v>
      </c>
    </row>
    <row r="15" customFormat="false" ht="18" hidden="false" customHeight="true" outlineLevel="0" collapsed="false">
      <c r="A15" s="50" t="s">
        <v>78</v>
      </c>
      <c r="B15" s="51" t="s">
        <v>79</v>
      </c>
      <c r="C15" s="22" t="n">
        <v>2</v>
      </c>
      <c r="D15" s="52" t="n">
        <v>-1</v>
      </c>
      <c r="E15" s="53" t="n">
        <v>2</v>
      </c>
      <c r="F15" s="54" t="n">
        <v>0.0012070006035003</v>
      </c>
      <c r="G15" s="55" t="s">
        <v>80</v>
      </c>
    </row>
    <row r="16" customFormat="false" ht="18" hidden="false" customHeight="true" outlineLevel="0" collapsed="false">
      <c r="A16" s="43" t="s">
        <v>81</v>
      </c>
      <c r="B16" s="44" t="s">
        <v>82</v>
      </c>
      <c r="C16" s="56" t="n">
        <v>0</v>
      </c>
      <c r="D16" s="46" t="n">
        <v>2</v>
      </c>
      <c r="E16" s="47" t="n">
        <v>0</v>
      </c>
      <c r="F16" s="48" t="n">
        <v>0</v>
      </c>
      <c r="G16" s="49" t="s">
        <v>83</v>
      </c>
    </row>
    <row r="17" customFormat="false" ht="18" hidden="false" customHeight="true" outlineLevel="0" collapsed="false">
      <c r="A17" s="43" t="s">
        <v>84</v>
      </c>
      <c r="B17" s="44" t="s">
        <v>85</v>
      </c>
      <c r="C17" s="56" t="n">
        <v>0</v>
      </c>
      <c r="D17" s="57" t="s">
        <v>47</v>
      </c>
      <c r="E17" s="57" t="s">
        <v>47</v>
      </c>
      <c r="F17" s="48" t="n">
        <v>0</v>
      </c>
      <c r="G17" s="49" t="s">
        <v>86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5" min="3" style="0" width="20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" t="s">
        <v>87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88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25" t="s">
        <v>89</v>
      </c>
      <c r="B3" s="25" t="s">
        <v>90</v>
      </c>
      <c r="C3" s="25" t="s">
        <v>91</v>
      </c>
      <c r="D3" s="25" t="s">
        <v>92</v>
      </c>
      <c r="E3" s="25" t="s">
        <v>93</v>
      </c>
      <c r="F3" s="25" t="s">
        <v>94</v>
      </c>
    </row>
    <row r="4" customFormat="false" ht="18" hidden="false" customHeight="true" outlineLevel="0" collapsed="false">
      <c r="A4" s="34" t="s">
        <v>95</v>
      </c>
      <c r="B4" s="58" t="s">
        <v>96</v>
      </c>
      <c r="C4" s="10" t="n">
        <v>135</v>
      </c>
      <c r="D4" s="59" t="n">
        <v>0.379213483146067</v>
      </c>
      <c r="E4" s="60" t="s">
        <v>47</v>
      </c>
      <c r="F4" s="36" t="s">
        <v>97</v>
      </c>
    </row>
    <row r="5" customFormat="false" ht="18" hidden="false" customHeight="true" outlineLevel="0" collapsed="false">
      <c r="A5" s="34" t="s">
        <v>98</v>
      </c>
      <c r="B5" s="58" t="s">
        <v>99</v>
      </c>
      <c r="C5" s="10" t="n">
        <v>133</v>
      </c>
      <c r="D5" s="59" t="n">
        <v>0.373595505617978</v>
      </c>
      <c r="E5" s="60" t="s">
        <v>47</v>
      </c>
      <c r="F5" s="36" t="s">
        <v>97</v>
      </c>
    </row>
    <row r="6" customFormat="false" ht="18" hidden="false" customHeight="true" outlineLevel="0" collapsed="false">
      <c r="A6" s="34" t="s">
        <v>100</v>
      </c>
      <c r="B6" s="58" t="s">
        <v>101</v>
      </c>
      <c r="C6" s="10" t="n">
        <v>68</v>
      </c>
      <c r="D6" s="59" t="n">
        <v>0.191011235955056</v>
      </c>
      <c r="E6" s="60" t="s">
        <v>47</v>
      </c>
      <c r="F6" s="36" t="s">
        <v>97</v>
      </c>
    </row>
    <row r="7" customFormat="false" ht="18" hidden="false" customHeight="true" outlineLevel="0" collapsed="false">
      <c r="A7" s="34" t="s">
        <v>102</v>
      </c>
      <c r="B7" s="58" t="s">
        <v>103</v>
      </c>
      <c r="C7" s="10" t="n">
        <v>35</v>
      </c>
      <c r="D7" s="59" t="n">
        <v>0.098314606741573</v>
      </c>
      <c r="E7" s="60" t="s">
        <v>47</v>
      </c>
      <c r="F7" s="36" t="s">
        <v>97</v>
      </c>
    </row>
    <row r="8" customFormat="false" ht="18" hidden="false" customHeight="true" outlineLevel="0" collapsed="false">
      <c r="A8" s="43" t="s">
        <v>104</v>
      </c>
      <c r="B8" s="61" t="s">
        <v>105</v>
      </c>
      <c r="C8" s="45" t="n">
        <v>1</v>
      </c>
      <c r="D8" s="47" t="n">
        <v>0.00280898876404494</v>
      </c>
      <c r="E8" s="62" t="n">
        <v>10071</v>
      </c>
      <c r="F8" s="63" t="n">
        <v>9.92950054612253E-005</v>
      </c>
    </row>
    <row r="9" customFormat="false" ht="18" hidden="false" customHeight="true" outlineLevel="0" collapsed="false">
      <c r="A9" s="64" t="s">
        <v>106</v>
      </c>
      <c r="B9" s="65" t="s">
        <v>47</v>
      </c>
      <c r="C9" s="24" t="n">
        <v>356</v>
      </c>
      <c r="D9" s="66" t="n">
        <v>1</v>
      </c>
      <c r="E9" s="67" t="n">
        <v>10071</v>
      </c>
      <c r="F9" s="68" t="n">
        <v>9.92950054612253E-005</v>
      </c>
    </row>
    <row r="11" customFormat="false" ht="36" hidden="false" customHeight="true" outlineLevel="0" collapsed="false">
      <c r="A11" s="69" t="s">
        <v>107</v>
      </c>
      <c r="B11" s="69"/>
      <c r="C11" s="69"/>
      <c r="D11" s="69"/>
      <c r="E11" s="69"/>
      <c r="F11" s="69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45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25.5" hidden="false" customHeight="true" outlineLevel="0" collapsed="false">
      <c r="A1" s="70" t="s">
        <v>108</v>
      </c>
      <c r="B1" s="70"/>
      <c r="C1" s="70"/>
      <c r="D1" s="70"/>
      <c r="E1" s="70"/>
      <c r="F1" s="70"/>
    </row>
    <row r="2" customFormat="false" ht="30" hidden="false" customHeight="true" outlineLevel="0" collapsed="false">
      <c r="A2" s="71" t="s">
        <v>109</v>
      </c>
      <c r="B2" s="71"/>
      <c r="C2" s="71"/>
      <c r="D2" s="71"/>
      <c r="E2" s="71"/>
      <c r="F2" s="71"/>
    </row>
    <row r="3" customFormat="false" ht="27.75" hidden="false" customHeight="true" outlineLevel="0" collapsed="false">
      <c r="A3" s="25" t="s">
        <v>110</v>
      </c>
      <c r="B3" s="25" t="s">
        <v>111</v>
      </c>
      <c r="C3" s="25" t="s">
        <v>112</v>
      </c>
      <c r="D3" s="25" t="s">
        <v>113</v>
      </c>
      <c r="E3" s="25" t="s">
        <v>114</v>
      </c>
      <c r="F3" s="25" t="s">
        <v>115</v>
      </c>
    </row>
    <row r="4" customFormat="false" ht="18" hidden="false" customHeight="true" outlineLevel="0" collapsed="false">
      <c r="A4" s="72" t="s">
        <v>116</v>
      </c>
      <c r="B4" s="73" t="s">
        <v>117</v>
      </c>
      <c r="C4" s="74" t="s">
        <v>118</v>
      </c>
      <c r="D4" s="75" t="s">
        <v>47</v>
      </c>
      <c r="E4" s="76" t="s">
        <v>119</v>
      </c>
      <c r="F4" s="77" t="s">
        <v>120</v>
      </c>
    </row>
    <row r="5" customFormat="false" ht="18" hidden="false" customHeight="true" outlineLevel="0" collapsed="false">
      <c r="A5" s="72" t="s">
        <v>116</v>
      </c>
      <c r="B5" s="73" t="s">
        <v>121</v>
      </c>
      <c r="C5" s="74" t="s">
        <v>118</v>
      </c>
      <c r="D5" s="75" t="s">
        <v>47</v>
      </c>
      <c r="E5" s="76" t="s">
        <v>119</v>
      </c>
      <c r="F5" s="77" t="s">
        <v>122</v>
      </c>
    </row>
    <row r="6" customFormat="false" ht="18" hidden="false" customHeight="true" outlineLevel="0" collapsed="false">
      <c r="A6" s="78" t="s">
        <v>123</v>
      </c>
      <c r="B6" s="79" t="s">
        <v>124</v>
      </c>
      <c r="C6" s="80" t="s">
        <v>125</v>
      </c>
      <c r="D6" s="81" t="s">
        <v>47</v>
      </c>
      <c r="E6" s="82" t="s">
        <v>126</v>
      </c>
      <c r="F6" s="55" t="s">
        <v>127</v>
      </c>
    </row>
    <row r="7" customFormat="false" ht="18" hidden="false" customHeight="true" outlineLevel="0" collapsed="false">
      <c r="A7" s="78" t="s">
        <v>123</v>
      </c>
      <c r="B7" s="79" t="s">
        <v>128</v>
      </c>
      <c r="C7" s="80" t="s">
        <v>125</v>
      </c>
      <c r="D7" s="81" t="s">
        <v>47</v>
      </c>
      <c r="E7" s="82" t="s">
        <v>126</v>
      </c>
      <c r="F7" s="55" t="s">
        <v>129</v>
      </c>
    </row>
    <row r="8" customFormat="false" ht="18" hidden="false" customHeight="true" outlineLevel="0" collapsed="false">
      <c r="A8" s="78" t="s">
        <v>123</v>
      </c>
      <c r="B8" s="83" t="s">
        <v>130</v>
      </c>
      <c r="C8" s="80" t="s">
        <v>125</v>
      </c>
      <c r="D8" s="81" t="s">
        <v>47</v>
      </c>
      <c r="E8" s="82" t="s">
        <v>126</v>
      </c>
      <c r="F8" s="55" t="s">
        <v>131</v>
      </c>
    </row>
    <row r="9" customFormat="false" ht="18" hidden="false" customHeight="true" outlineLevel="0" collapsed="false">
      <c r="A9" s="84" t="s">
        <v>132</v>
      </c>
      <c r="B9" s="85" t="s">
        <v>133</v>
      </c>
      <c r="C9" s="86" t="s">
        <v>125</v>
      </c>
      <c r="D9" s="87" t="s">
        <v>47</v>
      </c>
      <c r="E9" s="88" t="s">
        <v>134</v>
      </c>
      <c r="F9" s="89" t="s">
        <v>135</v>
      </c>
    </row>
    <row r="10" customFormat="false" ht="18" hidden="false" customHeight="true" outlineLevel="0" collapsed="false">
      <c r="A10" s="84" t="s">
        <v>132</v>
      </c>
      <c r="B10" s="85" t="s">
        <v>136</v>
      </c>
      <c r="C10" s="86" t="s">
        <v>125</v>
      </c>
      <c r="D10" s="87" t="s">
        <v>47</v>
      </c>
      <c r="E10" s="88" t="s">
        <v>134</v>
      </c>
      <c r="F10" s="89" t="s">
        <v>137</v>
      </c>
    </row>
    <row r="11" customFormat="false" ht="18" hidden="false" customHeight="true" outlineLevel="0" collapsed="false">
      <c r="A11" s="90" t="s">
        <v>138</v>
      </c>
      <c r="B11" s="91" t="s">
        <v>139</v>
      </c>
      <c r="C11" s="61" t="s">
        <v>125</v>
      </c>
      <c r="D11" s="92" t="s">
        <v>47</v>
      </c>
      <c r="E11" s="93" t="s">
        <v>140</v>
      </c>
      <c r="F11" s="49" t="s">
        <v>141</v>
      </c>
    </row>
    <row r="12" customFormat="false" ht="18" hidden="false" customHeight="true" outlineLevel="0" collapsed="false">
      <c r="A12" s="90" t="s">
        <v>142</v>
      </c>
      <c r="B12" s="43" t="s">
        <v>143</v>
      </c>
      <c r="C12" s="61" t="s">
        <v>125</v>
      </c>
      <c r="D12" s="92" t="s">
        <v>47</v>
      </c>
      <c r="E12" s="93" t="s">
        <v>140</v>
      </c>
      <c r="F12" s="49" t="s">
        <v>144</v>
      </c>
    </row>
    <row r="13" customFormat="false" ht="18" hidden="false" customHeight="true" outlineLevel="0" collapsed="false">
      <c r="A13" s="94" t="s">
        <v>145</v>
      </c>
      <c r="B13" s="95" t="s">
        <v>146</v>
      </c>
      <c r="C13" s="96" t="s">
        <v>125</v>
      </c>
      <c r="D13" s="97" t="s">
        <v>47</v>
      </c>
      <c r="E13" s="98" t="s">
        <v>147</v>
      </c>
      <c r="F13" s="99" t="s">
        <v>148</v>
      </c>
    </row>
    <row r="14" customFormat="false" ht="18" hidden="false" customHeight="true" outlineLevel="0" collapsed="false">
      <c r="A14" s="94" t="s">
        <v>145</v>
      </c>
      <c r="B14" s="95" t="s">
        <v>149</v>
      </c>
      <c r="C14" s="96" t="s">
        <v>125</v>
      </c>
      <c r="D14" s="100" t="s">
        <v>150</v>
      </c>
      <c r="E14" s="98" t="s">
        <v>147</v>
      </c>
      <c r="F14" s="99" t="s">
        <v>151</v>
      </c>
    </row>
    <row r="15" customFormat="false" ht="18" hidden="false" customHeight="true" outlineLevel="0" collapsed="false">
      <c r="A15" s="101" t="s">
        <v>152</v>
      </c>
      <c r="B15" s="26" t="s">
        <v>153</v>
      </c>
      <c r="C15" s="102" t="s">
        <v>125</v>
      </c>
      <c r="D15" s="103" t="s">
        <v>47</v>
      </c>
      <c r="E15" s="104" t="s">
        <v>154</v>
      </c>
      <c r="F15" s="31" t="s">
        <v>155</v>
      </c>
    </row>
    <row r="16" customFormat="false" ht="18" hidden="false" customHeight="true" outlineLevel="0" collapsed="false">
      <c r="A16" s="101" t="s">
        <v>152</v>
      </c>
      <c r="B16" s="26" t="s">
        <v>156</v>
      </c>
      <c r="C16" s="102" t="s">
        <v>125</v>
      </c>
      <c r="D16" s="103" t="s">
        <v>47</v>
      </c>
      <c r="E16" s="104" t="s">
        <v>154</v>
      </c>
      <c r="F16" s="31" t="s">
        <v>157</v>
      </c>
    </row>
    <row r="17" customFormat="false" ht="18" hidden="false" customHeight="true" outlineLevel="0" collapsed="false">
      <c r="A17" s="101" t="s">
        <v>152</v>
      </c>
      <c r="B17" s="26" t="s">
        <v>158</v>
      </c>
      <c r="C17" s="102" t="s">
        <v>125</v>
      </c>
      <c r="D17" s="105" t="s">
        <v>159</v>
      </c>
      <c r="E17" s="104" t="s">
        <v>154</v>
      </c>
      <c r="F17" s="31" t="s">
        <v>160</v>
      </c>
    </row>
    <row r="18" customFormat="false" ht="18" hidden="false" customHeight="true" outlineLevel="0" collapsed="false">
      <c r="A18" s="101" t="s">
        <v>161</v>
      </c>
      <c r="B18" s="26" t="s">
        <v>153</v>
      </c>
      <c r="C18" s="102" t="s">
        <v>125</v>
      </c>
      <c r="D18" s="103" t="s">
        <v>47</v>
      </c>
      <c r="E18" s="104" t="s">
        <v>154</v>
      </c>
      <c r="F18" s="31" t="s">
        <v>162</v>
      </c>
    </row>
    <row r="19" customFormat="false" ht="18" hidden="false" customHeight="true" outlineLevel="0" collapsed="false">
      <c r="A19" s="101" t="s">
        <v>163</v>
      </c>
      <c r="B19" s="26" t="s">
        <v>164</v>
      </c>
      <c r="C19" s="102" t="s">
        <v>125</v>
      </c>
      <c r="D19" s="103" t="s">
        <v>47</v>
      </c>
      <c r="E19" s="104" t="s">
        <v>154</v>
      </c>
      <c r="F19" s="31" t="s">
        <v>165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80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" t="s">
        <v>166</v>
      </c>
      <c r="B1" s="1"/>
      <c r="C1" s="1"/>
      <c r="D1" s="1"/>
      <c r="E1" s="1"/>
    </row>
    <row r="2" customFormat="false" ht="19.5" hidden="false" customHeight="true" outlineLevel="0" collapsed="false">
      <c r="A2" s="23" t="s">
        <v>167</v>
      </c>
      <c r="B2" s="23"/>
      <c r="C2" s="23"/>
      <c r="D2" s="23"/>
      <c r="E2" s="23"/>
    </row>
    <row r="3" customFormat="false" ht="15" hidden="false" customHeight="false" outlineLevel="0" collapsed="false">
      <c r="A3" s="25" t="s">
        <v>168</v>
      </c>
      <c r="B3" s="25" t="s">
        <v>169</v>
      </c>
      <c r="C3" s="25" t="s">
        <v>170</v>
      </c>
      <c r="D3" s="25" t="s">
        <v>171</v>
      </c>
      <c r="E3" s="25" t="s">
        <v>172</v>
      </c>
    </row>
    <row r="4" customFormat="false" ht="15.75" hidden="false" customHeight="true" outlineLevel="0" collapsed="false">
      <c r="A4" s="106" t="s">
        <v>173</v>
      </c>
      <c r="B4" s="34" t="s">
        <v>174</v>
      </c>
      <c r="C4" s="34" t="s">
        <v>47</v>
      </c>
      <c r="D4" s="107" t="s">
        <v>47</v>
      </c>
      <c r="E4" s="34" t="s">
        <v>175</v>
      </c>
    </row>
    <row r="5" customFormat="false" ht="15.75" hidden="false" customHeight="true" outlineLevel="0" collapsed="false">
      <c r="A5" s="106" t="s">
        <v>176</v>
      </c>
      <c r="B5" s="34" t="s">
        <v>177</v>
      </c>
      <c r="C5" s="34" t="s">
        <v>47</v>
      </c>
      <c r="D5" s="107" t="s">
        <v>47</v>
      </c>
      <c r="E5" s="34" t="s">
        <v>175</v>
      </c>
    </row>
    <row r="6" customFormat="false" ht="15.75" hidden="false" customHeight="true" outlineLevel="0" collapsed="false">
      <c r="A6" s="79" t="s">
        <v>178</v>
      </c>
      <c r="B6" s="50" t="s">
        <v>179</v>
      </c>
      <c r="C6" s="50" t="s">
        <v>180</v>
      </c>
      <c r="D6" s="108" t="s">
        <v>181</v>
      </c>
      <c r="E6" s="50" t="s">
        <v>182</v>
      </c>
    </row>
    <row r="7" customFormat="false" ht="15.75" hidden="false" customHeight="true" outlineLevel="0" collapsed="false">
      <c r="A7" s="43" t="s">
        <v>183</v>
      </c>
      <c r="B7" s="109" t="s">
        <v>184</v>
      </c>
      <c r="C7" s="109" t="s">
        <v>185</v>
      </c>
      <c r="D7" s="93" t="s">
        <v>186</v>
      </c>
      <c r="E7" s="109" t="s">
        <v>182</v>
      </c>
    </row>
    <row r="8" customFormat="false" ht="15.75" hidden="false" customHeight="true" outlineLevel="0" collapsed="false">
      <c r="A8" s="95" t="s">
        <v>187</v>
      </c>
      <c r="B8" s="110" t="s">
        <v>188</v>
      </c>
      <c r="C8" s="110" t="s">
        <v>189</v>
      </c>
      <c r="D8" s="98" t="s">
        <v>190</v>
      </c>
      <c r="E8" s="110" t="s">
        <v>191</v>
      </c>
    </row>
    <row r="9" customFormat="false" ht="15.75" hidden="false" customHeight="true" outlineLevel="0" collapsed="false">
      <c r="A9" s="79" t="s">
        <v>192</v>
      </c>
      <c r="B9" s="50" t="s">
        <v>193</v>
      </c>
      <c r="C9" s="50" t="s">
        <v>194</v>
      </c>
      <c r="D9" s="108" t="s">
        <v>195</v>
      </c>
      <c r="E9" s="50" t="s">
        <v>191</v>
      </c>
    </row>
    <row r="10" customFormat="false" ht="15.75" hidden="false" customHeight="true" outlineLevel="0" collapsed="false">
      <c r="A10" s="43" t="s">
        <v>196</v>
      </c>
      <c r="B10" s="109" t="s">
        <v>197</v>
      </c>
      <c r="C10" s="109" t="s">
        <v>198</v>
      </c>
      <c r="D10" s="93" t="s">
        <v>199</v>
      </c>
      <c r="E10" s="109" t="s">
        <v>191</v>
      </c>
    </row>
    <row r="11" customFormat="false" ht="15.75" hidden="false" customHeight="true" outlineLevel="0" collapsed="false">
      <c r="A11" s="43" t="s">
        <v>200</v>
      </c>
      <c r="B11" s="109" t="s">
        <v>201</v>
      </c>
      <c r="C11" s="109" t="s">
        <v>202</v>
      </c>
      <c r="D11" s="93" t="s">
        <v>203</v>
      </c>
      <c r="E11" s="109" t="s">
        <v>191</v>
      </c>
    </row>
    <row r="12" customFormat="false" ht="15.75" hidden="false" customHeight="true" outlineLevel="0" collapsed="false">
      <c r="A12" s="43" t="s">
        <v>204</v>
      </c>
      <c r="B12" s="109" t="s">
        <v>205</v>
      </c>
      <c r="C12" s="109" t="s">
        <v>206</v>
      </c>
      <c r="D12" s="93" t="s">
        <v>199</v>
      </c>
      <c r="E12" s="109" t="s">
        <v>191</v>
      </c>
    </row>
    <row r="13" customFormat="false" ht="15.75" hidden="false" customHeight="true" outlineLevel="0" collapsed="false">
      <c r="A13" s="43" t="s">
        <v>207</v>
      </c>
      <c r="B13" s="109" t="s">
        <v>208</v>
      </c>
      <c r="C13" s="109" t="s">
        <v>209</v>
      </c>
      <c r="D13" s="93" t="s">
        <v>210</v>
      </c>
      <c r="E13" s="109" t="s">
        <v>211</v>
      </c>
    </row>
    <row r="14" customFormat="false" ht="15.75" hidden="false" customHeight="true" outlineLevel="0" collapsed="false">
      <c r="A14" s="43" t="s">
        <v>212</v>
      </c>
      <c r="B14" s="109" t="s">
        <v>213</v>
      </c>
      <c r="C14" s="109" t="s">
        <v>214</v>
      </c>
      <c r="D14" s="93" t="s">
        <v>215</v>
      </c>
      <c r="E14" s="109" t="s">
        <v>211</v>
      </c>
    </row>
    <row r="15" customFormat="false" ht="15.75" hidden="false" customHeight="true" outlineLevel="0" collapsed="false">
      <c r="A15" s="43" t="s">
        <v>216</v>
      </c>
      <c r="B15" s="109" t="s">
        <v>217</v>
      </c>
      <c r="C15" s="109" t="s">
        <v>218</v>
      </c>
      <c r="D15" s="93" t="s">
        <v>219</v>
      </c>
      <c r="E15" s="109" t="s">
        <v>211</v>
      </c>
    </row>
    <row r="17" customFormat="false" ht="19.5" hidden="false" customHeight="true" outlineLevel="0" collapsed="false">
      <c r="A17" s="111" t="s">
        <v>220</v>
      </c>
      <c r="B17" s="111"/>
      <c r="C17" s="111"/>
      <c r="D17" s="111"/>
      <c r="E17" s="111"/>
    </row>
    <row r="18" customFormat="false" ht="19.5" hidden="false" customHeight="true" outlineLevel="0" collapsed="false">
      <c r="A18" s="25" t="s">
        <v>221</v>
      </c>
      <c r="B18" s="25" t="s">
        <v>222</v>
      </c>
      <c r="C18" s="25" t="s">
        <v>223</v>
      </c>
      <c r="D18" s="25" t="s">
        <v>224</v>
      </c>
    </row>
    <row r="19" customFormat="false" ht="60" hidden="false" customHeight="true" outlineLevel="0" collapsed="false">
      <c r="A19" s="106" t="s">
        <v>225</v>
      </c>
      <c r="B19" s="112" t="s">
        <v>226</v>
      </c>
      <c r="C19" s="35" t="s">
        <v>227</v>
      </c>
      <c r="D19" s="113" t="s">
        <v>228</v>
      </c>
    </row>
    <row r="20" customFormat="false" ht="60" hidden="false" customHeight="true" outlineLevel="0" collapsed="false">
      <c r="A20" s="106" t="s">
        <v>229</v>
      </c>
      <c r="B20" s="114" t="s">
        <v>230</v>
      </c>
      <c r="C20" s="35" t="s">
        <v>231</v>
      </c>
      <c r="D20" s="113" t="s">
        <v>232</v>
      </c>
    </row>
    <row r="21" customFormat="false" ht="60" hidden="false" customHeight="true" outlineLevel="0" collapsed="false">
      <c r="A21" s="106" t="s">
        <v>233</v>
      </c>
      <c r="B21" s="114" t="s">
        <v>230</v>
      </c>
      <c r="C21" s="35" t="s">
        <v>234</v>
      </c>
      <c r="D21" s="113" t="s">
        <v>235</v>
      </c>
    </row>
    <row r="22" customFormat="false" ht="60" hidden="false" customHeight="true" outlineLevel="0" collapsed="false">
      <c r="A22" s="106" t="s">
        <v>236</v>
      </c>
      <c r="B22" s="115" t="s">
        <v>237</v>
      </c>
      <c r="C22" s="35" t="s">
        <v>234</v>
      </c>
      <c r="D22" s="113" t="s">
        <v>238</v>
      </c>
    </row>
    <row r="23" customFormat="false" ht="60" hidden="false" customHeight="true" outlineLevel="0" collapsed="false">
      <c r="A23" s="106" t="s">
        <v>239</v>
      </c>
      <c r="B23" s="115" t="s">
        <v>237</v>
      </c>
      <c r="C23" s="35" t="s">
        <v>227</v>
      </c>
      <c r="D23" s="113" t="s">
        <v>240</v>
      </c>
    </row>
  </sheetData>
  <mergeCells count="3">
    <mergeCell ref="A1:E1"/>
    <mergeCell ref="A2:E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2026-08-13T13:13:34Z</dcterms:created>
  <dc:creator>openpyxl</dc:creator>
  <dc:description/>
  <dc:language>en-US</dc:language>
  <cp:lastModifiedBy/>
  <dcterms:modified xsi:type="dcterms:W3CDTF">2026-08-13T13:13:34Z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