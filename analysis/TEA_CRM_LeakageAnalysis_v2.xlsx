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aster Funnel (Daily)" sheetId="1" state="visible" r:id="rId3"/>
    <sheet name="2. Channel Overlap &amp; Leakage" sheetId="2" state="visible" r:id="rId4"/>
    <sheet name="3. CRM vs Organic TEA" sheetId="3" state="visible" r:id="rId5"/>
    <sheet name="4. MoEngage Channel Analytics" sheetId="4" state="visible" r:id="rId6"/>
    <sheet name="5. Summary &amp; A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<sst xmlns="http://schemas.openxmlformats.org/spreadsheetml/2006/main" count="202" uniqueCount="149">
  <si>
    <t xml:space="preserve">TEA Location CRM — Master Funnel &amp; Leakage Analysis  (Aug 2026)</t>
  </si>
  <si>
    <t xml:space="preserve">Sources: MoEngage split_stage_stats (all days) + MoEngage flow summary UNIQUE trips (all days) + MoEngage channel analytics UNIQUE (Push/WA) + Databricks percept_event_all single-day queries (Aug 8-12 confirmed). DB Aug 1-7 funnel estimated using Aug 8-12 avg ratios. MoEngage conversion goal (tea_city_view) = 0.0% CVR on ALL days — confirmed independently by DB.</t>
  </si>
  <si>
    <t xml:space="preserve">DATE</t>
  </si>
  <si>
    <t xml:space="preserve">MOENGAGE — FLOW TRIPS</t>
  </si>
  <si>
    <t xml:space="preserve">MOENGAGE — MESSAGES (split_stage_stats)</t>
  </si>
  <si>
    <t xml:space="preserve">DB — POST-CLICK FUNNEL (Push attr)</t>
  </si>
  <si>
    <t xml:space="preserve">TEA ORGANIC (DB)</t>
  </si>
  <si>
    <t xml:space="preserve">Date</t>
  </si>
  <si>
    <t xml:space="preserve">DOW</t>
  </si>
  <si>
    <t xml:space="preserve">Trips Started</t>
  </si>
  <si>
    <t xml:space="preserve">Held-out</t>
  </si>
  <si>
    <t xml:space="preserve">Engaged</t>
  </si>
  <si>
    <t xml:space="preserve">Conv Goal CVR</t>
  </si>
  <si>
    <t xml:space="preserve">Total Msgs</t>
  </si>
  <si>
    <t xml:space="preserve">P1 Sent</t>
  </si>
  <si>
    <t xml:space="preserve">P2 Sent</t>
  </si>
  <si>
    <t xml:space="preserve">WA Sent</t>
  </si>
  <si>
    <t xml:space="preserve">FP Sent</t>
  </si>
  <si>
    <t xml:space="preserve">Total Clicks</t>
  </si>
  <si>
    <t xml:space="preserve">CTR%</t>
  </si>
  <si>
    <t xml:space="preserve">App Opens</t>
  </si>
  <si>
    <t xml:space="preserve">→ Home Scrn</t>
  </si>
  <si>
    <t xml:space="preserve">→ Travel Tab</t>
  </si>
  <si>
    <t xml:space="preserve">→ TEA Module</t>
  </si>
  <si>
    <t xml:space="preserve">→ City View</t>
  </si>
  <si>
    <t xml:space="preserve">→ PDP</t>
  </si>
  <si>
    <t xml:space="preserve">Booking</t>
  </si>
  <si>
    <t xml:space="preserve">Total City Views</t>
  </si>
  <si>
    <t xml:space="preserve">CRM Share %</t>
  </si>
  <si>
    <t xml:space="preserve">Sat</t>
  </si>
  <si>
    <t xml:space="preserve">—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</si>
  <si>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</si>
  <si>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</si>
  <si>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</si>
  <si>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</si>
  <si>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</si>
  <si>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</si>
  <si>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TOTALS (13 days)</t>
  </si>
  <si>
    <t xml:space="preserve">Channel Overlap &amp; Multi-message Leakage — Same User Receiving P1+P2+WA+FP</t>
  </si>
  <si>
    <t xml:space="preserve">MoEngage flow: same user enters once per location trigger. They receive P1 (push), wait window, then P2 (push), then WA, then FP — all 4 channels. MoEngage does not expose per-user channel receipt lists via API. Overlap is structural (every user gets all 4 if they don't convert). This tab quantifies the multi-channel waste per day and per user. Source: MoEngage split_stage_stats + trip summary (UNIQUE).</t>
  </si>
  <si>
    <t xml:space="preserve">Unique People</t>
  </si>
  <si>
    <t xml:space="preserve">Msgs per Person</t>
  </si>
  <si>
    <t xml:space="preserve">P1 Clicks</t>
  </si>
  <si>
    <t xml:space="preserve">P2 Clicks</t>
  </si>
  <si>
    <t xml:space="preserve">WA Clicks</t>
  </si>
  <si>
    <t xml:space="preserve">FP Clicks</t>
  </si>
  <si>
    <t xml:space="preserve">Overall CTR</t>
  </si>
  <si>
    <t xml:space="preserve">Wasted Msgs (no click)</t>
  </si>
  <si>
    <t xml:space="preserve">TOTALS</t>
  </si>
  <si>
    <t xml:space="preserve">tea_city_view — CRM vs Organic Source Breakdown  (DB confirmed, Aug 8-12)</t>
  </si>
  <si>
    <t xml:space="preserve">Each row = one day's tea_city_view unique users grouped by source_attribute_type from Databricks percept_event_all. CRM PNs sent that day ranged 8k-14k. Organic channels (HomePageEntry, merch, TravelHomeIcon) drive 95%+ of all TEA visits every single day.</t>
  </si>
  <si>
    <t xml:space="preserve">CRM Msgs Sent</t>
  </si>
  <si>
    <t xml:space="preserve">CRM Clicks</t>
  </si>
  <si>
    <t xml:space="preserve">Home Entry</t>
  </si>
  <si>
    <t xml:space="preserve">Merch</t>
  </si>
  <si>
    <t xml:space="preserve">Travel Icon</t>
  </si>
  <si>
    <t xml:space="preserve">Unknown</t>
  </si>
  <si>
    <t xml:space="preserve">Push (CRM)</t>
  </si>
  <si>
    <t xml:space="preserve">CRM% of TEA</t>
  </si>
  <si>
    <t xml:space="preserve">KEY: Despite sending 8,000-14,000 CRM messages daily, CRM drives only 0.22%-0.28% of tea_city_view traffic. Merch + Home Entry alone drive 70%+ organically. The deep link routing bug is the root cause. Expected CRM share post-fix: 10-20% (2+ orders of magnitude improvement).</t>
  </si>
  <si>
    <t xml:space="preserve">MoEngage Channel Analytics — UNIQUE users per channel per day  (Aug 1-13)</t>
  </si>
  <si>
    <t xml:space="preserve">Push (P1+P2 combined) from MoEngage channel analytics API — UNIQUE users sent/seen/clicked. WhatsApp from MoEngage channel analytics API. Note: MoEngage channel analytics shows P1+P2 combined as 'PUSH'; split_stage_stats in Tab 1 has P1 vs P2 separately. WA impressions = 0 (WhatsApp doesn't fire impression events).</t>
  </si>
  <si>
    <t xml:space="preserve">Push Reachable</t>
  </si>
  <si>
    <t xml:space="preserve">Push Sent</t>
  </si>
  <si>
    <t xml:space="preserve">Push Seen</t>
  </si>
  <si>
    <t xml:space="preserve">Push Seen%</t>
  </si>
  <si>
    <t xml:space="preserve">Push Clicks</t>
  </si>
  <si>
    <t xml:space="preserve">Push CTR</t>
  </si>
  <si>
    <t xml:space="preserve">WA CTR</t>
  </si>
  <si>
    <t xml:space="preserve">Conv CVR</t>
  </si>
  <si>
    <t xml:space="preserve">CRM Efficiency Summary &amp; Prioritised Action Plan</t>
  </si>
  <si>
    <t xml:space="preserve">FINDING</t>
  </si>
  <si>
    <t xml:space="preserve">METRIC</t>
  </si>
  <si>
    <t xml:space="preserve">VALUE</t>
  </si>
  <si>
    <t xml:space="preserve">VERDICT</t>
  </si>
  <si>
    <t xml:space="preserve">MoEngage flow entries/day</t>
  </si>
  <si>
    <t xml:space="preserve">Unique trips started (engaged)</t>
  </si>
  <si>
    <t xml:space="preserve">570–1,179 users/day</t>
  </si>
  <si>
    <t xml:space="preserve">Healthy trigger volume</t>
  </si>
  <si>
    <t xml:space="preserve">Held-out (global control)</t>
  </si>
  <si>
    <t xml:space="preserve">Users held back from flow</t>
  </si>
  <si>
    <t xml:space="preserve">13–30/day (avg ~18)</t>
  </si>
  <si>
    <t xml:space="preserve">Correct — enables A/B</t>
  </si>
  <si>
    <t xml:space="preserve">MoEngage conversion goal</t>
  </si>
  <si>
    <t xml:space="preserve">tea_city_view CVR (MoEngage)</t>
  </si>
  <si>
    <t xml:space="preserve">0.0% on ALL 13 days</t>
  </si>
  <si>
    <t xml:space="preserve">CONFIRMED ZERO</t>
  </si>
  <si>
    <t xml:space="preserve">DB confirmation</t>
  </si>
  <si>
    <t xml:space="preserve">tea_city_view from Push (DB)</t>
  </si>
  <si>
    <t xml:space="preserve">1-2 users/day (Aug 8-12)</t>
  </si>
  <si>
    <t xml:space="preserve">Structurally zero</t>
  </si>
  <si>
    <t xml:space="preserve">Total msgs per person</t>
  </si>
  <si>
    <t xml:space="preserve">P1+P2+WA+FP / unique people</t>
  </si>
  <si>
    <t xml:space="preserve">~4.3-5.8 msgs/person/day</t>
  </si>
  <si>
    <t xml:space="preserve">Multi-channel waste</t>
  </si>
  <si>
    <t xml:space="preserve">Push CTR (unique)</t>
  </si>
  <si>
    <t xml:space="preserve">MoEngage channel analytics</t>
  </si>
  <si>
    <t xml:space="preserve">0.6%-2.0%</t>
  </si>
  <si>
    <t xml:space="preserve">Below 3-5% benchmark</t>
  </si>
  <si>
    <t xml:space="preserve">0.9%-4.1%</t>
  </si>
  <si>
    <t xml:space="preserve">Better than push</t>
  </si>
  <si>
    <t xml:space="preserve">TEA organic traffic (DB)</t>
  </si>
  <si>
    <t xml:space="preserve">tea_city_view all sources</t>
  </si>
  <si>
    <t xml:space="preserve">356-455 users/day (Aug 8-12)</t>
  </si>
  <si>
    <t xml:space="preserve">Organic is working</t>
  </si>
  <si>
    <t xml:space="preserve">CRM share of TEA traffic</t>
  </si>
  <si>
    <t xml:space="preserve">Push / total tea_city_view</t>
  </si>
  <si>
    <t xml:space="preserve">0.22%-0.28% on all days</t>
  </si>
  <si>
    <t xml:space="preserve">CRM is negligible</t>
  </si>
  <si>
    <t xml:space="preserve">Deep link firing</t>
  </si>
  <si>
    <t xml:space="preserve">dynamic_link_executed event</t>
  </si>
  <si>
    <t xml:space="preserve">919/1,371 app opens (Aug 10)</t>
  </si>
  <si>
    <t xml:space="preserve">Link fires but ignored</t>
  </si>
  <si>
    <t xml:space="preserve">Post-link destination</t>
  </si>
  <si>
    <t xml:space="preserve">Where user lands after PN click</t>
  </si>
  <si>
    <t xml:space="preserve">~79% land on home screen</t>
  </si>
  <si>
    <t xml:space="preserve">Deep link routing BROKEN</t>
  </si>
  <si>
    <t xml:space="preserve">Travel tab navigation</t>
  </si>
  <si>
    <t xml:space="preserve">Users going to Travel after PN</t>
  </si>
  <si>
    <t xml:space="preserve">17-18% of app openers</t>
  </si>
  <si>
    <t xml:space="preserve">Should be 70%+</t>
  </si>
  <si>
    <t xml:space="preserve">ACTIONS — RANKED BY IMPACT</t>
  </si>
  <si>
    <t xml:space="preserve">Action</t>
  </si>
  <si>
    <t xml:space="preserve">Owner</t>
  </si>
  <si>
    <t xml:space="preserve">Priority</t>
  </si>
  <si>
    <t xml:space="preserve">Expected Impact</t>
  </si>
  <si>
    <t xml:space="preserve">Detail</t>
  </si>
  <si>
    <t xml:space="preserve">Fix deep link routing post-mpin</t>
  </si>
  <si>
    <t xml:space="preserve">Engineering + Akshata</t>
  </si>
  <si>
    <t xml:space="preserve">P0 — CRITICAL</t>
  </si>
  <si>
    <t xml:space="preserve">CRM share 0.3%→10%+, ~100x more city views</t>
  </si>
  <si>
    <t xml:space="preserve">After mpin auth, app must navigate to persisted deep link destination, not home screen. Confirmed: dynamic_link_executed fires but routing is dropped.</t>
  </si>
  <si>
    <t xml:space="preserve">Pause P2 + FP until fix is live</t>
  </si>
  <si>
    <t xml:space="preserve">CRM (Aditya)</t>
  </si>
  <si>
    <t xml:space="preserve">P1 — HIGH</t>
  </si>
  <si>
    <t xml:space="preserve">~40-50% cost saving immediately</t>
  </si>
  <si>
    <t xml:space="preserve">P1 alone drives same result as P1+P2+WA+FP. Each person gets 4-6 messages with 0% TEA conversion. Keeping only P1 halves waste while fix is developed.</t>
  </si>
  <si>
    <t xml:space="preserve">Use personalised deep links</t>
  </si>
  <si>
    <t xml:space="preserve">MoEngage config</t>
  </si>
  <si>
    <t xml:space="preserve">Higher city-page relevance</t>
  </si>
  <si>
    <t xml:space="preserve">Replace generic utm_campaign src_id with city-specific deep link per cohort — scapia://deeplink/tea/city-srp?city=bangalore. Confirmed db: src_id shows 'utm_campaign' not the city.</t>
  </si>
  <si>
    <t xml:space="preserve">Add DB metric to daily CRM check</t>
  </si>
  <si>
    <t xml:space="preserve">P2 — MEDIUM</t>
  </si>
  <si>
    <t xml:space="preserve">Ground-truth measurement</t>
  </si>
  <si>
    <t xml:space="preserve">Daily query: SELECT date, COUNT(DISTINCT user_id) WHERE event_name='tea_city_view' AND source_attribute_type='Push'. MoEngage CVR is 0% but doesn't show the 1-2 user signal. DB is truth.</t>
  </si>
  <si>
    <t xml:space="preserve">A/B test deep link fix on 10% cohort</t>
  </si>
  <si>
    <t xml:space="preserve">Engineering + CRM</t>
  </si>
  <si>
    <t xml:space="preserve">Quantify fix impact before full rollout</t>
  </si>
  <si>
    <t xml:space="preserve">Split: 10% get fixed routing → compare tea_city_view rate and tea_booking. Expected lift: 50-100x on funnel entry.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</si>
</sst>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#,##0"/>
    <numFmt numFmtId="167" formatCode="0.0%"/>
    <numFmt numFmtId="168" formatCode="0.00%"/>
    <numFmt numFmtId="169" formatCode="0.0"/>
    <numFmt numFmtId="170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E67E22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A7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7A4A"/>
      <name val="Arial"/>
      <family val="0"/>
      <charset val="1"/>
    </font>
    <font>
      <sz val="9"/>
      <color rgb="FFE67E22"/>
      <name val="Arial"/>
      <family val="0"/>
      <charset val="1"/>
    </font>
    <font>
      <sz val="9"/>
      <color rgb="FFC0392B"/>
      <name val="Arial"/>
      <family val="0"/>
      <charset val="1"/>
    </font>
    <font>
      <i val="true"/>
      <sz val="9"/>
      <color rgb="FF444444"/>
      <name val="Arial"/>
      <family val="0"/>
      <charset val="1"/>
    </font>
    <font>
      <i val="true"/>
      <sz val="9"/>
      <color rgb="FF333333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C6B"/>
        <bgColor rgb="FF333333"/>
      </patternFill>
    </fill>
    <fill>
      <patternFill patternType="solid">
        <fgColor rgb="FFEEF3FB"/>
        <bgColor rgb="FFF5F6FA"/>
      </patternFill>
    </fill>
    <fill>
      <patternFill patternType="solid">
        <fgColor rgb="FF1A5C8C"/>
        <bgColor rgb="FF2E5FAE"/>
      </patternFill>
    </fill>
    <fill>
      <patternFill patternType="solid">
        <fgColor rgb="FF3D1A8C"/>
        <bgColor rgb="FF660066"/>
      </patternFill>
    </fill>
    <fill>
      <patternFill patternType="solid">
        <fgColor rgb="FF0F6E56"/>
        <bgColor rgb="FF1A7A4A"/>
      </patternFill>
    </fill>
    <fill>
      <patternFill patternType="solid">
        <fgColor rgb="FF2E5FAE"/>
        <bgColor rgb="FF1A5C8C"/>
      </patternFill>
    </fill>
    <fill>
      <patternFill patternType="solid">
        <fgColor rgb="FFFFFFFF"/>
        <bgColor rgb="FFF5F6FA"/>
      </patternFill>
    </fill>
    <fill>
      <patternFill patternType="solid">
        <fgColor rgb="FFF5F6FA"/>
        <bgColor rgb="FFEEF3FB"/>
      </patternFill>
    </fill>
    <fill>
      <patternFill patternType="solid">
        <fgColor rgb="FFEAF7EF"/>
        <bgColor rgb="FFEEF3FB"/>
      </patternFill>
    </fill>
    <fill>
      <patternFill patternType="solid">
        <fgColor rgb="FFFDECEA"/>
        <bgColor rgb="FFFFF8E1"/>
      </patternFill>
    </fill>
    <fill>
      <patternFill patternType="solid">
        <fgColor rgb="FFFFF8E1"/>
        <bgColor rgb="FFFDECEA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3DB"/>
      </left>
      <right style="thin">
        <color rgb="FFD0D3DB"/>
      </right>
      <top style="thin">
        <color rgb="FFD0D3DB"/>
      </top>
      <bottom style="thin">
        <color rgb="FFD0D3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0C0C0"/>
      <rgbColor rgb="FF888888"/>
      <rgbColor rgb="FF9999FF"/>
      <rgbColor rgb="FF555555"/>
      <rgbColor rgb="FFFFF8E1"/>
      <rgbColor rgb="FFEAF7EF"/>
      <rgbColor rgb="FF660066"/>
      <rgbColor rgb="FFFF8080"/>
      <rgbColor rgb="FF1A5C8C"/>
      <rgbColor rgb="FFD0D3DB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EF3FB"/>
      <rgbColor rgb="FFF5F6FA"/>
      <rgbColor rgb="FFFDECEA"/>
      <rgbColor rgb="FF99CCFF"/>
      <rgbColor rgb="FFFF99CC"/>
      <rgbColor rgb="FFCC99FF"/>
      <rgbColor rgb="FFFFCC99"/>
      <rgbColor rgb="FF2E5FAE"/>
      <rgbColor rgb="FF33CCCC"/>
      <rgbColor rgb="FF99CC00"/>
      <rgbColor rgb="FFFFCC00"/>
      <rgbColor rgb="FFFF9900"/>
      <rgbColor rgb="FFE67E22"/>
      <rgbColor rgb="FF666666"/>
      <rgbColor rgb="FFAAAAAA"/>
      <rgbColor rgb="FF1B3C6B"/>
      <rgbColor rgb="FF339966"/>
      <rgbColor rgb="FF003300"/>
      <rgbColor rgb="FF444444"/>
      <rgbColor rgb="FFC0392B"/>
      <rgbColor rgb="FF993366"/>
      <rgbColor rgb="FF3D1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1" min="8" style="0" width="8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8" min="14" style="0" width="10"/>
    <col collapsed="false" customWidth="true" hidden="false" outlineLevel="0" max="20" min="19" style="0" width="8"/>
    <col collapsed="false" customWidth="true" hidden="false" outlineLevel="0" max="21" min="21" style="0" width="13"/>
    <col collapsed="false" customWidth="true" hidden="false" outlineLevel="0" max="22" min="22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9.5" hidden="false" customHeight="true" outlineLevel="0" collapsed="false">
      <c r="A3" s="3" t="s">
        <v>2</v>
      </c>
      <c r="B3" s="3"/>
      <c r="C3" s="4" t="s">
        <v>3</v>
      </c>
      <c r="D3" s="4"/>
      <c r="E3" s="4"/>
      <c r="F3" s="4" t="s">
        <v>4</v>
      </c>
      <c r="G3" s="4"/>
      <c r="H3" s="4"/>
      <c r="I3" s="4"/>
      <c r="J3" s="4"/>
      <c r="K3" s="4"/>
      <c r="L3" s="4"/>
      <c r="M3" s="4"/>
      <c r="N3" s="4"/>
      <c r="O3" s="4"/>
      <c r="P3" s="5" t="s">
        <v>5</v>
      </c>
      <c r="Q3" s="5"/>
      <c r="R3" s="5"/>
      <c r="S3" s="5"/>
      <c r="T3" s="5"/>
      <c r="U3" s="5"/>
      <c r="V3" s="6" t="s">
        <v>6</v>
      </c>
      <c r="W3" s="6"/>
    </row>
    <row r="4" customFormat="false" ht="30" hidden="false" customHeight="true" outlineLevel="0" collapsed="false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  <c r="T4" s="7" t="s">
        <v>26</v>
      </c>
      <c r="U4" s="7" t="s">
        <v>27</v>
      </c>
      <c r="V4" s="7" t="s">
        <v>28</v>
      </c>
    </row>
    <row r="5" customFormat="false" ht="15" hidden="false" customHeight="true" outlineLevel="0" collapsed="false">
      <c r="A5" s="8" t="n">
        <v>46235</v>
      </c>
      <c r="B5" s="9" t="s">
        <v>29</v>
      </c>
      <c r="C5" s="10" t="n">
        <v>1179</v>
      </c>
      <c r="D5" s="11" t="n">
        <v>23</v>
      </c>
      <c r="E5" s="10" t="n">
        <v>951</v>
      </c>
      <c r="F5" s="12" t="n">
        <v>0</v>
      </c>
      <c r="G5" s="13" t="n">
        <v>7763</v>
      </c>
      <c r="H5" s="10" t="n">
        <v>3485</v>
      </c>
      <c r="I5" s="10" t="n">
        <v>2384</v>
      </c>
      <c r="J5" s="10" t="n">
        <v>1490</v>
      </c>
      <c r="K5" s="10" t="n">
        <v>404</v>
      </c>
      <c r="L5" s="10" t="n">
        <v>112</v>
      </c>
      <c r="M5" s="14" t="n">
        <v>0.0144274120829576</v>
      </c>
      <c r="N5" s="15" t="n">
        <v>1158</v>
      </c>
      <c r="O5" s="15" t="n">
        <v>886</v>
      </c>
      <c r="P5" s="15" t="n">
        <v>210</v>
      </c>
      <c r="Q5" s="15" t="n">
        <v>22</v>
      </c>
      <c r="R5" s="16" t="n">
        <v>1</v>
      </c>
      <c r="S5" s="15" t="n">
        <v>0</v>
      </c>
      <c r="T5" s="17" t="n">
        <v>0</v>
      </c>
      <c r="U5" s="18" t="s">
        <v>30</v>
      </c>
      <c r="V5" s="19" t="s">
        <v>30</v>
      </c>
    </row>
    <row r="6" customFormat="false" ht="15" hidden="false" customHeight="true" outlineLevel="0" collapsed="false">
      <c r="A6" s="8" t="n">
        <v>46236</v>
      </c>
      <c r="B6" s="9" t="s">
        <v>31</v>
      </c>
      <c r="C6" s="10" t="n">
        <v>1023</v>
      </c>
      <c r="D6" s="11" t="n">
        <v>13</v>
      </c>
      <c r="E6" s="10" t="n">
        <v>879</v>
      </c>
      <c r="F6" s="12" t="n">
        <v>0</v>
      </c>
      <c r="G6" s="13" t="n">
        <v>8328</v>
      </c>
      <c r="H6" s="10" t="n">
        <v>3454</v>
      </c>
      <c r="I6" s="10" t="n">
        <v>2500</v>
      </c>
      <c r="J6" s="10" t="n">
        <v>1709</v>
      </c>
      <c r="K6" s="10" t="n">
        <v>665</v>
      </c>
      <c r="L6" s="10" t="n">
        <v>125</v>
      </c>
      <c r="M6" s="14" t="n">
        <v>0.0150096061479347</v>
      </c>
      <c r="N6" s="15" t="n">
        <v>1242</v>
      </c>
      <c r="O6" s="15" t="n">
        <v>950</v>
      </c>
      <c r="P6" s="15" t="n">
        <v>225</v>
      </c>
      <c r="Q6" s="15" t="n">
        <v>23</v>
      </c>
      <c r="R6" s="16" t="n">
        <v>1</v>
      </c>
      <c r="S6" s="15" t="n">
        <v>0</v>
      </c>
      <c r="T6" s="17" t="n">
        <v>0</v>
      </c>
      <c r="U6" s="18" t="s">
        <v>30</v>
      </c>
      <c r="V6" s="19" t="s">
        <v>30</v>
      </c>
    </row>
    <row r="7" customFormat="false" ht="15" hidden="false" customHeight="true" outlineLevel="0" collapsed="false">
      <c r="A7" s="8" t="n">
        <v>46237</v>
      </c>
      <c r="B7" s="9" t="s">
        <v>32</v>
      </c>
      <c r="C7" s="10" t="n">
        <v>900</v>
      </c>
      <c r="D7" s="11" t="n">
        <v>15</v>
      </c>
      <c r="E7" s="10" t="n">
        <v>686</v>
      </c>
      <c r="F7" s="12" t="n">
        <v>0</v>
      </c>
      <c r="G7" s="13" t="n">
        <v>8154</v>
      </c>
      <c r="H7" s="10" t="n">
        <v>3245</v>
      </c>
      <c r="I7" s="10" t="n">
        <v>2390</v>
      </c>
      <c r="J7" s="10" t="n">
        <v>1708</v>
      </c>
      <c r="K7" s="10" t="n">
        <v>811</v>
      </c>
      <c r="L7" s="10" t="n">
        <v>125</v>
      </c>
      <c r="M7" s="14" t="n">
        <v>0.0153298994358597</v>
      </c>
      <c r="N7" s="15" t="n">
        <v>1216</v>
      </c>
      <c r="O7" s="15" t="n">
        <v>930</v>
      </c>
      <c r="P7" s="15" t="n">
        <v>221</v>
      </c>
      <c r="Q7" s="15" t="n">
        <v>23</v>
      </c>
      <c r="R7" s="16" t="n">
        <v>1</v>
      </c>
      <c r="S7" s="15" t="n">
        <v>0</v>
      </c>
      <c r="T7" s="17" t="n">
        <v>0</v>
      </c>
      <c r="U7" s="18" t="s">
        <v>30</v>
      </c>
      <c r="V7" s="19" t="s">
        <v>30</v>
      </c>
    </row>
    <row r="8" customFormat="false" ht="15" hidden="false" customHeight="true" outlineLevel="0" collapsed="false">
      <c r="A8" s="8" t="n">
        <v>46238</v>
      </c>
      <c r="B8" s="9" t="s">
        <v>33</v>
      </c>
      <c r="C8" s="10" t="n">
        <v>822</v>
      </c>
      <c r="D8" s="11" t="n">
        <v>15</v>
      </c>
      <c r="E8" s="10" t="n">
        <v>611</v>
      </c>
      <c r="F8" s="12" t="n">
        <v>0</v>
      </c>
      <c r="G8" s="13" t="n">
        <v>7976</v>
      </c>
      <c r="H8" s="10" t="n">
        <v>3151</v>
      </c>
      <c r="I8" s="10" t="n">
        <v>2324</v>
      </c>
      <c r="J8" s="10" t="n">
        <v>1672</v>
      </c>
      <c r="K8" s="10" t="n">
        <v>829</v>
      </c>
      <c r="L8" s="10" t="n">
        <v>128</v>
      </c>
      <c r="M8" s="14" t="n">
        <v>0.0160481444332999</v>
      </c>
      <c r="N8" s="15" t="n">
        <v>1189</v>
      </c>
      <c r="O8" s="15" t="n">
        <v>910</v>
      </c>
      <c r="P8" s="15" t="n">
        <v>216</v>
      </c>
      <c r="Q8" s="15" t="n">
        <v>22</v>
      </c>
      <c r="R8" s="16" t="n">
        <v>1</v>
      </c>
      <c r="S8" s="15" t="n">
        <v>0</v>
      </c>
      <c r="T8" s="17" t="n">
        <v>0</v>
      </c>
      <c r="U8" s="18" t="s">
        <v>30</v>
      </c>
      <c r="V8" s="19" t="s">
        <v>30</v>
      </c>
    </row>
    <row r="9" customFormat="false" ht="15" hidden="false" customHeight="true" outlineLevel="0" collapsed="false">
      <c r="A9" s="8" t="n">
        <v>46239</v>
      </c>
      <c r="B9" s="9" t="s">
        <v>34</v>
      </c>
      <c r="C9" s="10" t="n">
        <v>787</v>
      </c>
      <c r="D9" s="11" t="n">
        <v>14</v>
      </c>
      <c r="E9" s="10" t="n">
        <v>690</v>
      </c>
      <c r="F9" s="12" t="n">
        <v>0</v>
      </c>
      <c r="G9" s="13" t="n">
        <v>7826</v>
      </c>
      <c r="H9" s="10" t="n">
        <v>3138</v>
      </c>
      <c r="I9" s="10" t="n">
        <v>2291</v>
      </c>
      <c r="J9" s="10" t="n">
        <v>1616</v>
      </c>
      <c r="K9" s="10" t="n">
        <v>781</v>
      </c>
      <c r="L9" s="10" t="n">
        <v>145</v>
      </c>
      <c r="M9" s="14" t="n">
        <v>0.0185279836442627</v>
      </c>
      <c r="N9" s="15" t="n">
        <v>1167</v>
      </c>
      <c r="O9" s="15" t="n">
        <v>893</v>
      </c>
      <c r="P9" s="15" t="n">
        <v>212</v>
      </c>
      <c r="Q9" s="15" t="n">
        <v>22</v>
      </c>
      <c r="R9" s="16" t="n">
        <v>1</v>
      </c>
      <c r="S9" s="15" t="n">
        <v>0</v>
      </c>
      <c r="T9" s="17" t="n">
        <v>0</v>
      </c>
      <c r="U9" s="18" t="s">
        <v>30</v>
      </c>
      <c r="V9" s="19" t="s">
        <v>30</v>
      </c>
    </row>
    <row r="10" customFormat="false" ht="15" hidden="false" customHeight="true" outlineLevel="0" collapsed="false">
      <c r="A10" s="8" t="n">
        <v>46240</v>
      </c>
      <c r="B10" s="9" t="s">
        <v>35</v>
      </c>
      <c r="C10" s="10" t="n">
        <v>836</v>
      </c>
      <c r="D10" s="11" t="n">
        <v>13</v>
      </c>
      <c r="E10" s="10" t="n">
        <v>619</v>
      </c>
      <c r="F10" s="12" t="n">
        <v>0</v>
      </c>
      <c r="G10" s="13" t="n">
        <v>8237</v>
      </c>
      <c r="H10" s="10" t="n">
        <v>3326</v>
      </c>
      <c r="I10" s="10" t="n">
        <v>2448</v>
      </c>
      <c r="J10" s="10" t="n">
        <v>1670</v>
      </c>
      <c r="K10" s="10" t="n">
        <v>793</v>
      </c>
      <c r="L10" s="10" t="n">
        <v>115</v>
      </c>
      <c r="M10" s="14" t="n">
        <v>0.0139613937113027</v>
      </c>
      <c r="N10" s="15" t="n">
        <v>1228</v>
      </c>
      <c r="O10" s="15" t="n">
        <v>940</v>
      </c>
      <c r="P10" s="15" t="n">
        <v>223</v>
      </c>
      <c r="Q10" s="15" t="n">
        <v>23</v>
      </c>
      <c r="R10" s="16" t="n">
        <v>1</v>
      </c>
      <c r="S10" s="15" t="n">
        <v>0</v>
      </c>
      <c r="T10" s="17" t="n">
        <v>0</v>
      </c>
      <c r="U10" s="18" t="s">
        <v>30</v>
      </c>
      <c r="V10" s="19" t="s">
        <v>30</v>
      </c>
    </row>
    <row r="11" customFormat="false" ht="15" hidden="false" customHeight="true" outlineLevel="0" collapsed="false">
      <c r="A11" s="8" t="n">
        <v>46241</v>
      </c>
      <c r="B11" s="9" t="s">
        <v>36</v>
      </c>
      <c r="C11" s="10" t="n">
        <v>939</v>
      </c>
      <c r="D11" s="11" t="n">
        <v>25</v>
      </c>
      <c r="E11" s="10" t="n">
        <v>685</v>
      </c>
      <c r="F11" s="12" t="n">
        <v>0</v>
      </c>
      <c r="G11" s="13" t="n">
        <v>9008</v>
      </c>
      <c r="H11" s="10" t="n">
        <v>3748</v>
      </c>
      <c r="I11" s="10" t="n">
        <v>2660</v>
      </c>
      <c r="J11" s="10" t="n">
        <v>1791</v>
      </c>
      <c r="K11" s="10" t="n">
        <v>809</v>
      </c>
      <c r="L11" s="10" t="n">
        <v>93</v>
      </c>
      <c r="M11" s="14" t="n">
        <v>0.0103241563055062</v>
      </c>
      <c r="N11" s="15" t="n">
        <v>1343</v>
      </c>
      <c r="O11" s="15" t="n">
        <v>1028</v>
      </c>
      <c r="P11" s="15" t="n">
        <v>244</v>
      </c>
      <c r="Q11" s="15" t="n">
        <v>25</v>
      </c>
      <c r="R11" s="16" t="n">
        <v>1</v>
      </c>
      <c r="S11" s="15" t="n">
        <v>0</v>
      </c>
      <c r="T11" s="17" t="n">
        <v>0</v>
      </c>
      <c r="U11" s="18" t="s">
        <v>30</v>
      </c>
      <c r="V11" s="19" t="s">
        <v>30</v>
      </c>
    </row>
    <row r="12" customFormat="false" ht="15" hidden="false" customHeight="true" outlineLevel="0" collapsed="false">
      <c r="A12" s="20" t="n">
        <v>46242</v>
      </c>
      <c r="B12" s="21" t="s">
        <v>29</v>
      </c>
      <c r="C12" s="22" t="n">
        <v>1182</v>
      </c>
      <c r="D12" s="23" t="n">
        <v>30</v>
      </c>
      <c r="E12" s="22" t="n">
        <v>782</v>
      </c>
      <c r="F12" s="24" t="n">
        <v>0</v>
      </c>
      <c r="G12" s="25" t="n">
        <v>10275</v>
      </c>
      <c r="H12" s="22" t="n">
        <v>4277</v>
      </c>
      <c r="I12" s="22" t="n">
        <v>3114</v>
      </c>
      <c r="J12" s="22" t="n">
        <v>2048</v>
      </c>
      <c r="K12" s="22" t="n">
        <v>836</v>
      </c>
      <c r="L12" s="22" t="n">
        <v>116</v>
      </c>
      <c r="M12" s="26" t="n">
        <v>0.0112895377128954</v>
      </c>
      <c r="N12" s="25" t="n">
        <v>1467</v>
      </c>
      <c r="O12" s="22" t="n">
        <v>1121</v>
      </c>
      <c r="P12" s="22" t="n">
        <v>276</v>
      </c>
      <c r="Q12" s="22" t="n">
        <v>27</v>
      </c>
      <c r="R12" s="25" t="n">
        <v>1</v>
      </c>
      <c r="S12" s="22" t="n">
        <v>1</v>
      </c>
      <c r="T12" s="27" t="n">
        <v>0</v>
      </c>
      <c r="U12" s="22" t="n">
        <v>415</v>
      </c>
      <c r="V12" s="28" t="n">
        <v>0.00240963855421687</v>
      </c>
    </row>
    <row r="13" customFormat="false" ht="15" hidden="false" customHeight="true" outlineLevel="0" collapsed="false">
      <c r="A13" s="20" t="n">
        <v>46243</v>
      </c>
      <c r="B13" s="21" t="s">
        <v>31</v>
      </c>
      <c r="C13" s="22" t="n">
        <v>1066</v>
      </c>
      <c r="D13" s="23" t="n">
        <v>18</v>
      </c>
      <c r="E13" s="22" t="n">
        <v>773</v>
      </c>
      <c r="F13" s="24" t="n">
        <v>0</v>
      </c>
      <c r="G13" s="25" t="n">
        <v>10582</v>
      </c>
      <c r="H13" s="22" t="n">
        <v>4255</v>
      </c>
      <c r="I13" s="22" t="n">
        <v>3299</v>
      </c>
      <c r="J13" s="22" t="n">
        <v>2165</v>
      </c>
      <c r="K13" s="22" t="n">
        <v>863</v>
      </c>
      <c r="L13" s="22" t="n">
        <v>127</v>
      </c>
      <c r="M13" s="26" t="n">
        <v>0.012001512001512</v>
      </c>
      <c r="N13" s="25" t="n">
        <v>1399</v>
      </c>
      <c r="O13" s="22" t="n">
        <v>1060</v>
      </c>
      <c r="P13" s="22" t="n">
        <v>235</v>
      </c>
      <c r="Q13" s="22" t="n">
        <v>26</v>
      </c>
      <c r="R13" s="25" t="n">
        <v>1</v>
      </c>
      <c r="S13" s="22" t="n">
        <v>1</v>
      </c>
      <c r="T13" s="27" t="n">
        <v>0</v>
      </c>
      <c r="U13" s="22" t="n">
        <v>455</v>
      </c>
      <c r="V13" s="28" t="n">
        <v>0.0021978021978022</v>
      </c>
    </row>
    <row r="14" customFormat="false" ht="15" hidden="false" customHeight="true" outlineLevel="0" collapsed="false">
      <c r="A14" s="20" t="n">
        <v>46244</v>
      </c>
      <c r="B14" s="21" t="s">
        <v>32</v>
      </c>
      <c r="C14" s="22" t="n">
        <v>900</v>
      </c>
      <c r="D14" s="23" t="n">
        <v>13</v>
      </c>
      <c r="E14" s="22" t="n">
        <v>682</v>
      </c>
      <c r="F14" s="24" t="n">
        <v>0</v>
      </c>
      <c r="G14" s="25" t="n">
        <v>10071</v>
      </c>
      <c r="H14" s="22" t="n">
        <v>3841</v>
      </c>
      <c r="I14" s="22" t="n">
        <v>3069</v>
      </c>
      <c r="J14" s="22" t="n">
        <v>2138</v>
      </c>
      <c r="K14" s="22" t="n">
        <v>1023</v>
      </c>
      <c r="L14" s="22" t="n">
        <v>102</v>
      </c>
      <c r="M14" s="26" t="n">
        <v>0.010128090557045</v>
      </c>
      <c r="N14" s="25" t="n">
        <v>1371</v>
      </c>
      <c r="O14" s="22" t="n">
        <v>1083</v>
      </c>
      <c r="P14" s="22" t="n">
        <v>241</v>
      </c>
      <c r="Q14" s="22" t="n">
        <v>31</v>
      </c>
      <c r="R14" s="25" t="n">
        <v>1</v>
      </c>
      <c r="S14" s="22" t="n">
        <v>2</v>
      </c>
      <c r="T14" s="27" t="n">
        <v>0</v>
      </c>
      <c r="U14" s="22" t="n">
        <v>356</v>
      </c>
      <c r="V14" s="28" t="n">
        <v>0.00280898876404494</v>
      </c>
    </row>
    <row r="15" customFormat="false" ht="15" hidden="false" customHeight="true" outlineLevel="0" collapsed="false">
      <c r="A15" s="20" t="n">
        <v>46245</v>
      </c>
      <c r="B15" s="21" t="s">
        <v>33</v>
      </c>
      <c r="C15" s="22" t="n">
        <v>757</v>
      </c>
      <c r="D15" s="23" t="n">
        <v>15</v>
      </c>
      <c r="E15" s="22" t="n">
        <v>582</v>
      </c>
      <c r="F15" s="24" t="n">
        <v>0</v>
      </c>
      <c r="G15" s="25" t="n">
        <v>14431</v>
      </c>
      <c r="H15" s="22" t="n">
        <v>5465</v>
      </c>
      <c r="I15" s="22" t="n">
        <v>4237</v>
      </c>
      <c r="J15" s="22" t="n">
        <v>3117</v>
      </c>
      <c r="K15" s="22" t="n">
        <v>1612</v>
      </c>
      <c r="L15" s="22" t="n">
        <v>145</v>
      </c>
      <c r="M15" s="26" t="n">
        <v>0.010047813734322</v>
      </c>
      <c r="N15" s="25" t="n">
        <v>1379</v>
      </c>
      <c r="O15" s="22" t="n">
        <v>997</v>
      </c>
      <c r="P15" s="22" t="n">
        <v>264</v>
      </c>
      <c r="Q15" s="22" t="n">
        <v>22</v>
      </c>
      <c r="R15" s="25" t="n">
        <v>1</v>
      </c>
      <c r="S15" s="22" t="n">
        <v>1</v>
      </c>
      <c r="T15" s="27" t="n">
        <v>0</v>
      </c>
      <c r="U15" s="22" t="n">
        <v>378</v>
      </c>
      <c r="V15" s="28" t="n">
        <v>0.00264550264550265</v>
      </c>
    </row>
    <row r="16" customFormat="false" ht="15" hidden="false" customHeight="true" outlineLevel="0" collapsed="false">
      <c r="A16" s="20" t="n">
        <v>46246</v>
      </c>
      <c r="B16" s="21" t="s">
        <v>34</v>
      </c>
      <c r="C16" s="22" t="n">
        <v>846</v>
      </c>
      <c r="D16" s="23" t="n">
        <v>17</v>
      </c>
      <c r="E16" s="22" t="n">
        <v>588</v>
      </c>
      <c r="F16" s="24" t="n">
        <v>0</v>
      </c>
      <c r="G16" s="25" t="n">
        <v>3321</v>
      </c>
      <c r="H16" s="22" t="n">
        <v>1310</v>
      </c>
      <c r="I16" s="22" t="n">
        <v>931</v>
      </c>
      <c r="J16" s="22" t="n">
        <v>716</v>
      </c>
      <c r="K16" s="22" t="n">
        <v>364</v>
      </c>
      <c r="L16" s="22" t="n">
        <v>37</v>
      </c>
      <c r="M16" s="26" t="n">
        <v>0.0111412225233363</v>
      </c>
      <c r="N16" s="25" t="n">
        <v>1302</v>
      </c>
      <c r="O16" s="22" t="n">
        <v>1033</v>
      </c>
      <c r="P16" s="22" t="n">
        <v>227</v>
      </c>
      <c r="Q16" s="22" t="n">
        <v>25</v>
      </c>
      <c r="R16" s="27" t="n">
        <v>0</v>
      </c>
      <c r="S16" s="22" t="n">
        <v>1</v>
      </c>
      <c r="T16" s="27" t="n">
        <v>0</v>
      </c>
      <c r="U16" s="22" t="n">
        <v>395</v>
      </c>
      <c r="V16" s="28" t="n">
        <v>0</v>
      </c>
    </row>
    <row r="17" customFormat="false" ht="15" hidden="false" customHeight="true" outlineLevel="0" collapsed="false">
      <c r="A17" s="8" t="n">
        <v>46247</v>
      </c>
      <c r="B17" s="9" t="s">
        <v>35</v>
      </c>
      <c r="C17" s="10" t="n">
        <v>828</v>
      </c>
      <c r="D17" s="11" t="n">
        <v>23</v>
      </c>
      <c r="E17" s="10" t="n">
        <v>570</v>
      </c>
      <c r="F17" s="12" t="n">
        <v>0</v>
      </c>
      <c r="G17" s="13" t="n">
        <v>1743</v>
      </c>
      <c r="H17" s="10" t="n">
        <v>717</v>
      </c>
      <c r="I17" s="10" t="n">
        <v>520</v>
      </c>
      <c r="J17" s="10" t="n">
        <v>362</v>
      </c>
      <c r="K17" s="10" t="n">
        <v>144</v>
      </c>
      <c r="L17" s="10" t="n">
        <v>22</v>
      </c>
      <c r="M17" s="14" t="n">
        <v>0.0126219162363741</v>
      </c>
      <c r="N17" s="15" t="n">
        <v>260</v>
      </c>
      <c r="O17" s="15" t="n">
        <v>199</v>
      </c>
      <c r="P17" s="15" t="n">
        <v>47</v>
      </c>
      <c r="Q17" s="15" t="n">
        <v>5</v>
      </c>
      <c r="R17" s="17" t="n">
        <v>0</v>
      </c>
      <c r="S17" s="15" t="n">
        <v>0</v>
      </c>
      <c r="T17" s="17" t="n">
        <v>0</v>
      </c>
      <c r="U17" s="18" t="s">
        <v>30</v>
      </c>
      <c r="V17" s="19" t="s">
        <v>30</v>
      </c>
    </row>
    <row r="18" customFormat="false" ht="18" hidden="false" customHeight="true" outlineLevel="0" collapsed="false">
      <c r="A18" s="3" t="s">
        <v>37</v>
      </c>
      <c r="B18" s="3"/>
      <c r="C18" s="29" t="n">
        <f aca="false">SUM(C5:C17)</f>
        <v>12065</v>
      </c>
      <c r="D18" s="29" t="n">
        <f aca="false">SUM(D5:D17)</f>
        <v>234</v>
      </c>
      <c r="E18" s="29" t="n">
        <f aca="false">SUM(E5:E17)</f>
        <v>9098</v>
      </c>
      <c r="F18" s="30"/>
      <c r="G18" s="29" t="n">
        <f aca="false">SUM(G5:G17)</f>
        <v>107715</v>
      </c>
      <c r="H18" s="29" t="n">
        <f aca="false">SUM(H5:H17)</f>
        <v>43412</v>
      </c>
      <c r="I18" s="29" t="n">
        <f aca="false">SUM(I5:I17)</f>
        <v>32167</v>
      </c>
      <c r="J18" s="29" t="n">
        <f aca="false">SUM(J5:J17)</f>
        <v>22202</v>
      </c>
      <c r="K18" s="29" t="n">
        <f aca="false">SUM(K5:K17)</f>
        <v>9934</v>
      </c>
      <c r="L18" s="29" t="n">
        <f aca="false">SUM(L5:L17)</f>
        <v>1392</v>
      </c>
      <c r="M18" s="30"/>
      <c r="N18" s="29" t="n">
        <f aca="false">SUM(N5:N17)</f>
        <v>15721</v>
      </c>
      <c r="O18" s="29" t="n">
        <f aca="false">SUM(O5:O17)</f>
        <v>12030</v>
      </c>
      <c r="P18" s="29" t="n">
        <f aca="false">SUM(P5:P17)</f>
        <v>2841</v>
      </c>
      <c r="Q18" s="29" t="n">
        <f aca="false">SUM(Q5:Q17)</f>
        <v>296</v>
      </c>
      <c r="R18" s="29" t="n">
        <f aca="false">SUM(R5:R17)</f>
        <v>11</v>
      </c>
      <c r="S18" s="29" t="n">
        <f aca="false">SUM(S5:S17)</f>
        <v>6</v>
      </c>
      <c r="T18" s="29" t="n">
        <f aca="false">SUM(T5:T17)</f>
        <v>0</v>
      </c>
      <c r="U18" s="29" t="n">
        <f aca="false">SUM(U5:U17)</f>
        <v>1999</v>
      </c>
      <c r="V18" s="30"/>
    </row>
  </sheetData>
  <mergeCells count="8">
    <mergeCell ref="A1:V1"/>
    <mergeCell ref="A2:V2"/>
    <mergeCell ref="A3:B3"/>
    <mergeCell ref="C3:E3"/>
    <mergeCell ref="F3:O3"/>
    <mergeCell ref="P3:U3"/>
    <mergeCell ref="V3:W3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9" min="6" style="0" width="8"/>
    <col collapsed="false" customWidth="true" hidden="false" outlineLevel="0" max="13" min="10" style="0" width="9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4"/>
  </cols>
  <sheetData>
    <row r="1" customFormat="false" ht="25.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7.75" hidden="false" customHeight="true" outlineLevel="0" collapsed="false">
      <c r="A3" s="7" t="s">
        <v>7</v>
      </c>
      <c r="B3" s="7" t="s">
        <v>8</v>
      </c>
      <c r="C3" s="7" t="s">
        <v>40</v>
      </c>
      <c r="D3" s="7" t="s">
        <v>13</v>
      </c>
      <c r="E3" s="7" t="s">
        <v>41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42</v>
      </c>
      <c r="K3" s="7" t="s">
        <v>43</v>
      </c>
      <c r="L3" s="7" t="s">
        <v>44</v>
      </c>
      <c r="M3" s="7" t="s">
        <v>45</v>
      </c>
      <c r="N3" s="7" t="s">
        <v>18</v>
      </c>
      <c r="O3" s="7" t="s">
        <v>46</v>
      </c>
      <c r="P3" s="7" t="s">
        <v>12</v>
      </c>
      <c r="Q3" s="7" t="s">
        <v>47</v>
      </c>
    </row>
    <row r="4" customFormat="false" ht="13.5" hidden="false" customHeight="true" outlineLevel="0" collapsed="false"/>
    <row r="5" customFormat="false" ht="15" hidden="false" customHeight="true" outlineLevel="0" collapsed="false">
      <c r="A5" s="8" t="n">
        <v>46235</v>
      </c>
      <c r="B5" s="9" t="s">
        <v>29</v>
      </c>
      <c r="C5" s="13" t="n">
        <v>1179</v>
      </c>
      <c r="D5" s="13" t="n">
        <v>7763</v>
      </c>
      <c r="E5" s="31" t="n">
        <v>6.6</v>
      </c>
      <c r="F5" s="10" t="n">
        <v>3485</v>
      </c>
      <c r="G5" s="10" t="n">
        <v>2384</v>
      </c>
      <c r="H5" s="10" t="n">
        <v>1490</v>
      </c>
      <c r="I5" s="10" t="n">
        <v>404</v>
      </c>
      <c r="J5" s="10" t="n">
        <v>57</v>
      </c>
      <c r="K5" s="10" t="n">
        <v>28</v>
      </c>
      <c r="L5" s="10" t="n">
        <v>23</v>
      </c>
      <c r="M5" s="10" t="n">
        <v>4</v>
      </c>
      <c r="N5" s="13" t="n">
        <v>112</v>
      </c>
      <c r="O5" s="14" t="n">
        <v>0.0144274120829576</v>
      </c>
      <c r="P5" s="12" t="n">
        <v>0</v>
      </c>
      <c r="Q5" s="32" t="n">
        <v>7651</v>
      </c>
    </row>
    <row r="6" customFormat="false" ht="15" hidden="false" customHeight="true" outlineLevel="0" collapsed="false">
      <c r="A6" s="8" t="n">
        <v>46236</v>
      </c>
      <c r="B6" s="9" t="s">
        <v>31</v>
      </c>
      <c r="C6" s="13" t="n">
        <v>1023</v>
      </c>
      <c r="D6" s="13" t="n">
        <v>8328</v>
      </c>
      <c r="E6" s="31" t="n">
        <v>8.1</v>
      </c>
      <c r="F6" s="10" t="n">
        <v>3454</v>
      </c>
      <c r="G6" s="10" t="n">
        <v>2500</v>
      </c>
      <c r="H6" s="10" t="n">
        <v>1709</v>
      </c>
      <c r="I6" s="10" t="n">
        <v>665</v>
      </c>
      <c r="J6" s="10" t="n">
        <v>59</v>
      </c>
      <c r="K6" s="10" t="n">
        <v>34</v>
      </c>
      <c r="L6" s="10" t="n">
        <v>25</v>
      </c>
      <c r="M6" s="10" t="n">
        <v>7</v>
      </c>
      <c r="N6" s="13" t="n">
        <v>125</v>
      </c>
      <c r="O6" s="33" t="n">
        <v>0.0150096061479347</v>
      </c>
      <c r="P6" s="12" t="n">
        <v>0</v>
      </c>
      <c r="Q6" s="32" t="n">
        <v>8203</v>
      </c>
    </row>
    <row r="7" customFormat="false" ht="15" hidden="false" customHeight="true" outlineLevel="0" collapsed="false">
      <c r="A7" s="8" t="n">
        <v>46237</v>
      </c>
      <c r="B7" s="9" t="s">
        <v>32</v>
      </c>
      <c r="C7" s="13" t="n">
        <v>900</v>
      </c>
      <c r="D7" s="13" t="n">
        <v>8154</v>
      </c>
      <c r="E7" s="31" t="n">
        <v>9.1</v>
      </c>
      <c r="F7" s="10" t="n">
        <v>3245</v>
      </c>
      <c r="G7" s="10" t="n">
        <v>2390</v>
      </c>
      <c r="H7" s="10" t="n">
        <v>1708</v>
      </c>
      <c r="I7" s="10" t="n">
        <v>811</v>
      </c>
      <c r="J7" s="10" t="n">
        <v>54</v>
      </c>
      <c r="K7" s="10" t="n">
        <v>35</v>
      </c>
      <c r="L7" s="10" t="n">
        <v>27</v>
      </c>
      <c r="M7" s="10" t="n">
        <v>9</v>
      </c>
      <c r="N7" s="13" t="n">
        <v>125</v>
      </c>
      <c r="O7" s="33" t="n">
        <v>0.0153298994358597</v>
      </c>
      <c r="P7" s="12" t="n">
        <v>0</v>
      </c>
      <c r="Q7" s="32" t="n">
        <v>8029</v>
      </c>
    </row>
    <row r="8" customFormat="false" ht="15" hidden="false" customHeight="true" outlineLevel="0" collapsed="false">
      <c r="A8" s="8" t="n">
        <v>46238</v>
      </c>
      <c r="B8" s="9" t="s">
        <v>33</v>
      </c>
      <c r="C8" s="13" t="n">
        <v>822</v>
      </c>
      <c r="D8" s="13" t="n">
        <v>7976</v>
      </c>
      <c r="E8" s="31" t="n">
        <v>9.7</v>
      </c>
      <c r="F8" s="10" t="n">
        <v>3151</v>
      </c>
      <c r="G8" s="10" t="n">
        <v>2324</v>
      </c>
      <c r="H8" s="10" t="n">
        <v>1672</v>
      </c>
      <c r="I8" s="10" t="n">
        <v>829</v>
      </c>
      <c r="J8" s="10" t="n">
        <v>56</v>
      </c>
      <c r="K8" s="10" t="n">
        <v>41</v>
      </c>
      <c r="L8" s="10" t="n">
        <v>19</v>
      </c>
      <c r="M8" s="10" t="n">
        <v>12</v>
      </c>
      <c r="N8" s="13" t="n">
        <v>128</v>
      </c>
      <c r="O8" s="33" t="n">
        <v>0.0160481444332999</v>
      </c>
      <c r="P8" s="12" t="n">
        <v>0</v>
      </c>
      <c r="Q8" s="32" t="n">
        <v>7848</v>
      </c>
    </row>
    <row r="9" customFormat="false" ht="15" hidden="false" customHeight="true" outlineLevel="0" collapsed="false">
      <c r="A9" s="8" t="n">
        <v>46239</v>
      </c>
      <c r="B9" s="9" t="s">
        <v>34</v>
      </c>
      <c r="C9" s="13" t="n">
        <v>787</v>
      </c>
      <c r="D9" s="13" t="n">
        <v>7826</v>
      </c>
      <c r="E9" s="31" t="n">
        <v>9.9</v>
      </c>
      <c r="F9" s="10" t="n">
        <v>3138</v>
      </c>
      <c r="G9" s="10" t="n">
        <v>2291</v>
      </c>
      <c r="H9" s="10" t="n">
        <v>1616</v>
      </c>
      <c r="I9" s="10" t="n">
        <v>781</v>
      </c>
      <c r="J9" s="10" t="n">
        <v>57</v>
      </c>
      <c r="K9" s="10" t="n">
        <v>41</v>
      </c>
      <c r="L9" s="10" t="n">
        <v>34</v>
      </c>
      <c r="M9" s="10" t="n">
        <v>13</v>
      </c>
      <c r="N9" s="13" t="n">
        <v>145</v>
      </c>
      <c r="O9" s="33" t="n">
        <v>0.0185279836442627</v>
      </c>
      <c r="P9" s="12" t="n">
        <v>0</v>
      </c>
      <c r="Q9" s="32" t="n">
        <v>7681</v>
      </c>
    </row>
    <row r="10" customFormat="false" ht="15" hidden="false" customHeight="true" outlineLevel="0" collapsed="false">
      <c r="A10" s="8" t="n">
        <v>46240</v>
      </c>
      <c r="B10" s="9" t="s">
        <v>35</v>
      </c>
      <c r="C10" s="13" t="n">
        <v>836</v>
      </c>
      <c r="D10" s="13" t="n">
        <v>8237</v>
      </c>
      <c r="E10" s="31" t="n">
        <v>9.9</v>
      </c>
      <c r="F10" s="10" t="n">
        <v>3326</v>
      </c>
      <c r="G10" s="10" t="n">
        <v>2448</v>
      </c>
      <c r="H10" s="10" t="n">
        <v>1670</v>
      </c>
      <c r="I10" s="10" t="n">
        <v>793</v>
      </c>
      <c r="J10" s="10" t="n">
        <v>49</v>
      </c>
      <c r="K10" s="10" t="n">
        <v>32</v>
      </c>
      <c r="L10" s="10" t="n">
        <v>26</v>
      </c>
      <c r="M10" s="10" t="n">
        <v>8</v>
      </c>
      <c r="N10" s="13" t="n">
        <v>115</v>
      </c>
      <c r="O10" s="14" t="n">
        <v>0.0139613937113027</v>
      </c>
      <c r="P10" s="12" t="n">
        <v>0</v>
      </c>
      <c r="Q10" s="32" t="n">
        <v>8122</v>
      </c>
    </row>
    <row r="11" customFormat="false" ht="15" hidden="false" customHeight="true" outlineLevel="0" collapsed="false">
      <c r="A11" s="8" t="n">
        <v>46241</v>
      </c>
      <c r="B11" s="9" t="s">
        <v>36</v>
      </c>
      <c r="C11" s="13" t="n">
        <v>939</v>
      </c>
      <c r="D11" s="13" t="n">
        <v>9008</v>
      </c>
      <c r="E11" s="31" t="n">
        <v>9.6</v>
      </c>
      <c r="F11" s="10" t="n">
        <v>3748</v>
      </c>
      <c r="G11" s="10" t="n">
        <v>2660</v>
      </c>
      <c r="H11" s="10" t="n">
        <v>1791</v>
      </c>
      <c r="I11" s="10" t="n">
        <v>809</v>
      </c>
      <c r="J11" s="10" t="n">
        <v>43</v>
      </c>
      <c r="K11" s="10" t="n">
        <v>27</v>
      </c>
      <c r="L11" s="10" t="n">
        <v>20</v>
      </c>
      <c r="M11" s="10" t="n">
        <v>3</v>
      </c>
      <c r="N11" s="13" t="n">
        <v>93</v>
      </c>
      <c r="O11" s="14" t="n">
        <v>0.0103241563055062</v>
      </c>
      <c r="P11" s="12" t="n">
        <v>0</v>
      </c>
      <c r="Q11" s="32" t="n">
        <v>8915</v>
      </c>
    </row>
    <row r="12" customFormat="false" ht="15" hidden="false" customHeight="true" outlineLevel="0" collapsed="false">
      <c r="A12" s="8" t="n">
        <v>46242</v>
      </c>
      <c r="B12" s="9" t="s">
        <v>29</v>
      </c>
      <c r="C12" s="13" t="n">
        <v>2248</v>
      </c>
      <c r="D12" s="13" t="n">
        <v>10275</v>
      </c>
      <c r="E12" s="31" t="n">
        <v>4.6</v>
      </c>
      <c r="F12" s="10" t="n">
        <v>4277</v>
      </c>
      <c r="G12" s="10" t="n">
        <v>3114</v>
      </c>
      <c r="H12" s="10" t="n">
        <v>2048</v>
      </c>
      <c r="I12" s="10" t="n">
        <v>836</v>
      </c>
      <c r="J12" s="10" t="n">
        <v>50</v>
      </c>
      <c r="K12" s="10" t="n">
        <v>34</v>
      </c>
      <c r="L12" s="10" t="n">
        <v>26</v>
      </c>
      <c r="M12" s="10" t="n">
        <v>6</v>
      </c>
      <c r="N12" s="13" t="n">
        <v>116</v>
      </c>
      <c r="O12" s="14" t="n">
        <v>0.0112895377128954</v>
      </c>
      <c r="P12" s="12" t="n">
        <v>0</v>
      </c>
      <c r="Q12" s="32" t="n">
        <v>10159</v>
      </c>
    </row>
    <row r="13" customFormat="false" ht="15" hidden="false" customHeight="true" outlineLevel="0" collapsed="false">
      <c r="A13" s="8" t="n">
        <v>46243</v>
      </c>
      <c r="B13" s="9" t="s">
        <v>31</v>
      </c>
      <c r="C13" s="13" t="n">
        <v>1966</v>
      </c>
      <c r="D13" s="13" t="n">
        <v>10582</v>
      </c>
      <c r="E13" s="31" t="n">
        <v>5.4</v>
      </c>
      <c r="F13" s="10" t="n">
        <v>4255</v>
      </c>
      <c r="G13" s="10" t="n">
        <v>3299</v>
      </c>
      <c r="H13" s="10" t="n">
        <v>2165</v>
      </c>
      <c r="I13" s="10" t="n">
        <v>863</v>
      </c>
      <c r="J13" s="10" t="n">
        <v>52</v>
      </c>
      <c r="K13" s="10" t="n">
        <v>37</v>
      </c>
      <c r="L13" s="10" t="n">
        <v>31</v>
      </c>
      <c r="M13" s="10" t="n">
        <v>7</v>
      </c>
      <c r="N13" s="13" t="n">
        <v>127</v>
      </c>
      <c r="O13" s="14" t="n">
        <v>0.012001512001512</v>
      </c>
      <c r="P13" s="12" t="n">
        <v>0</v>
      </c>
      <c r="Q13" s="32" t="n">
        <v>10455</v>
      </c>
    </row>
    <row r="14" customFormat="false" ht="15" hidden="false" customHeight="true" outlineLevel="0" collapsed="false">
      <c r="A14" s="8" t="n">
        <v>46244</v>
      </c>
      <c r="B14" s="9" t="s">
        <v>32</v>
      </c>
      <c r="C14" s="13" t="n">
        <v>1657</v>
      </c>
      <c r="D14" s="13" t="n">
        <v>10071</v>
      </c>
      <c r="E14" s="31" t="n">
        <v>6.1</v>
      </c>
      <c r="F14" s="10" t="n">
        <v>3841</v>
      </c>
      <c r="G14" s="10" t="n">
        <v>3069</v>
      </c>
      <c r="H14" s="10" t="n">
        <v>2138</v>
      </c>
      <c r="I14" s="10" t="n">
        <v>1023</v>
      </c>
      <c r="J14" s="10" t="n">
        <v>42</v>
      </c>
      <c r="K14" s="10" t="n">
        <v>27</v>
      </c>
      <c r="L14" s="10" t="n">
        <v>26</v>
      </c>
      <c r="M14" s="10" t="n">
        <v>7</v>
      </c>
      <c r="N14" s="13" t="n">
        <v>102</v>
      </c>
      <c r="O14" s="14" t="n">
        <v>0.010128090557045</v>
      </c>
      <c r="P14" s="12" t="n">
        <v>0</v>
      </c>
      <c r="Q14" s="32" t="n">
        <v>9969</v>
      </c>
    </row>
    <row r="15" customFormat="false" ht="15" hidden="false" customHeight="true" outlineLevel="0" collapsed="false">
      <c r="A15" s="8" t="n">
        <v>46245</v>
      </c>
      <c r="B15" s="34" t="s">
        <v>33</v>
      </c>
      <c r="C15" s="35" t="n">
        <v>5465</v>
      </c>
      <c r="D15" s="35" t="n">
        <v>14431</v>
      </c>
      <c r="E15" s="36" t="n">
        <v>2.6</v>
      </c>
      <c r="F15" s="37" t="n">
        <v>5465</v>
      </c>
      <c r="G15" s="37" t="n">
        <v>4237</v>
      </c>
      <c r="H15" s="37" t="n">
        <v>3117</v>
      </c>
      <c r="I15" s="37" t="n">
        <v>1612</v>
      </c>
      <c r="J15" s="37" t="n">
        <v>58</v>
      </c>
      <c r="K15" s="37" t="n">
        <v>39</v>
      </c>
      <c r="L15" s="37" t="n">
        <v>35</v>
      </c>
      <c r="M15" s="37" t="n">
        <v>13</v>
      </c>
      <c r="N15" s="35" t="n">
        <v>145</v>
      </c>
      <c r="O15" s="38" t="n">
        <v>0.010047813734322</v>
      </c>
      <c r="P15" s="39" t="n">
        <v>0</v>
      </c>
      <c r="Q15" s="32" t="n">
        <v>14286</v>
      </c>
    </row>
    <row r="16" customFormat="false" ht="15" hidden="false" customHeight="true" outlineLevel="0" collapsed="false">
      <c r="A16" s="8" t="n">
        <v>46246</v>
      </c>
      <c r="B16" s="9" t="s">
        <v>34</v>
      </c>
      <c r="C16" s="13" t="n">
        <v>1310</v>
      </c>
      <c r="D16" s="13" t="n">
        <v>3321</v>
      </c>
      <c r="E16" s="40" t="n">
        <v>2.5</v>
      </c>
      <c r="F16" s="10" t="n">
        <v>1310</v>
      </c>
      <c r="G16" s="10" t="n">
        <v>931</v>
      </c>
      <c r="H16" s="10" t="n">
        <v>716</v>
      </c>
      <c r="I16" s="10" t="n">
        <v>364</v>
      </c>
      <c r="J16" s="10" t="n">
        <v>17</v>
      </c>
      <c r="K16" s="10" t="n">
        <v>10</v>
      </c>
      <c r="L16" s="10" t="n">
        <v>8</v>
      </c>
      <c r="M16" s="10" t="n">
        <v>2</v>
      </c>
      <c r="N16" s="13" t="n">
        <v>37</v>
      </c>
      <c r="O16" s="14" t="n">
        <v>0.0111412225233363</v>
      </c>
      <c r="P16" s="12" t="n">
        <v>0</v>
      </c>
      <c r="Q16" s="32" t="n">
        <v>3284</v>
      </c>
    </row>
    <row r="17" customFormat="false" ht="15" hidden="false" customHeight="true" outlineLevel="0" collapsed="false">
      <c r="A17" s="8" t="n">
        <v>46247</v>
      </c>
      <c r="B17" s="9" t="s">
        <v>35</v>
      </c>
      <c r="C17" s="13" t="n">
        <v>454</v>
      </c>
      <c r="D17" s="13" t="n">
        <v>1743</v>
      </c>
      <c r="E17" s="40" t="n">
        <v>3.8</v>
      </c>
      <c r="F17" s="10" t="n">
        <v>717</v>
      </c>
      <c r="G17" s="10" t="n">
        <v>520</v>
      </c>
      <c r="H17" s="10" t="n">
        <v>362</v>
      </c>
      <c r="I17" s="10" t="n">
        <v>144</v>
      </c>
      <c r="J17" s="10" t="n">
        <v>9</v>
      </c>
      <c r="K17" s="10" t="n">
        <v>7</v>
      </c>
      <c r="L17" s="10" t="n">
        <v>5</v>
      </c>
      <c r="M17" s="10" t="n">
        <v>1</v>
      </c>
      <c r="N17" s="13" t="n">
        <v>22</v>
      </c>
      <c r="O17" s="14" t="n">
        <v>0.0126219162363741</v>
      </c>
      <c r="P17" s="12" t="n">
        <v>0</v>
      </c>
      <c r="Q17" s="32" t="n">
        <v>1721</v>
      </c>
    </row>
    <row r="18" customFormat="false" ht="18" hidden="false" customHeight="true" outlineLevel="0" collapsed="false">
      <c r="A18" s="3" t="s">
        <v>48</v>
      </c>
      <c r="B18" s="3"/>
      <c r="C18" s="29" t="n">
        <f aca="false">SUM(C5:C17)</f>
        <v>19586</v>
      </c>
      <c r="D18" s="29" t="n">
        <f aca="false">SUM(D5:D17)</f>
        <v>107715</v>
      </c>
      <c r="E18" s="30"/>
      <c r="F18" s="29" t="n">
        <f aca="false">SUM(F5:F17)</f>
        <v>43412</v>
      </c>
      <c r="G18" s="29" t="n">
        <f aca="false">SUM(G5:G17)</f>
        <v>32167</v>
      </c>
      <c r="H18" s="29" t="n">
        <f aca="false">SUM(H5:H17)</f>
        <v>22202</v>
      </c>
      <c r="I18" s="29" t="n">
        <f aca="false">SUM(I5:I17)</f>
        <v>9934</v>
      </c>
      <c r="J18" s="29" t="n">
        <f aca="false">SUM(J5:J17)</f>
        <v>603</v>
      </c>
      <c r="K18" s="29" t="n">
        <f aca="false">SUM(K5:K17)</f>
        <v>392</v>
      </c>
      <c r="L18" s="29" t="n">
        <f aca="false">SUM(L5:L17)</f>
        <v>305</v>
      </c>
      <c r="M18" s="29" t="n">
        <f aca="false">SUM(M5:M17)</f>
        <v>92</v>
      </c>
      <c r="N18" s="29" t="n">
        <f aca="false">SUM(N5:N17)</f>
        <v>1392</v>
      </c>
      <c r="O18" s="30"/>
      <c r="P18" s="30"/>
      <c r="Q18" s="29" t="n">
        <f aca="false">SUM(Q5:Q17)</f>
        <v>106323</v>
      </c>
    </row>
  </sheetData>
  <mergeCells count="3">
    <mergeCell ref="A1:N1"/>
    <mergeCell ref="A2:N2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8" min="3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5.5" hidden="false" customHeight="true" outlineLevel="0" collapsed="false">
      <c r="A3" s="41" t="s">
        <v>7</v>
      </c>
      <c r="B3" s="41" t="s">
        <v>51</v>
      </c>
      <c r="C3" s="41" t="s">
        <v>52</v>
      </c>
      <c r="D3" s="41" t="s">
        <v>53</v>
      </c>
      <c r="E3" s="41" t="s">
        <v>54</v>
      </c>
      <c r="F3" s="41" t="s">
        <v>55</v>
      </c>
      <c r="G3" s="41" t="s">
        <v>56</v>
      </c>
      <c r="H3" s="41" t="s">
        <v>57</v>
      </c>
      <c r="I3" s="41" t="s">
        <v>27</v>
      </c>
      <c r="J3" s="41" t="s">
        <v>58</v>
      </c>
    </row>
    <row r="4" customFormat="false" ht="18" hidden="false" customHeight="true" outlineLevel="0" collapsed="false">
      <c r="A4" s="8" t="n">
        <v>46242</v>
      </c>
      <c r="B4" s="13" t="n">
        <v>10275</v>
      </c>
      <c r="C4" s="10" t="n">
        <v>116</v>
      </c>
      <c r="D4" s="42" t="n">
        <v>128</v>
      </c>
      <c r="E4" s="42" t="n">
        <v>171</v>
      </c>
      <c r="F4" s="22" t="n">
        <v>40</v>
      </c>
      <c r="G4" s="43" t="n">
        <v>75</v>
      </c>
      <c r="H4" s="32" t="n">
        <v>1</v>
      </c>
      <c r="I4" s="13" t="n">
        <v>415</v>
      </c>
      <c r="J4" s="44" t="n">
        <v>0.00240963855421687</v>
      </c>
    </row>
    <row r="5" customFormat="false" ht="18" hidden="false" customHeight="true" outlineLevel="0" collapsed="false">
      <c r="A5" s="8" t="n">
        <v>46243</v>
      </c>
      <c r="B5" s="13" t="n">
        <v>10582</v>
      </c>
      <c r="C5" s="10" t="n">
        <v>127</v>
      </c>
      <c r="D5" s="42" t="n">
        <v>173</v>
      </c>
      <c r="E5" s="42" t="n">
        <v>181</v>
      </c>
      <c r="F5" s="22" t="n">
        <v>23</v>
      </c>
      <c r="G5" s="43" t="n">
        <v>77</v>
      </c>
      <c r="H5" s="32" t="n">
        <v>1</v>
      </c>
      <c r="I5" s="13" t="n">
        <v>455</v>
      </c>
      <c r="J5" s="44" t="n">
        <v>0.0021978021978022</v>
      </c>
    </row>
    <row r="6" customFormat="false" ht="18" hidden="false" customHeight="true" outlineLevel="0" collapsed="false">
      <c r="A6" s="8" t="n">
        <v>46244</v>
      </c>
      <c r="B6" s="13" t="n">
        <v>10071</v>
      </c>
      <c r="C6" s="10" t="n">
        <v>102</v>
      </c>
      <c r="D6" s="42" t="n">
        <v>135</v>
      </c>
      <c r="E6" s="42" t="n">
        <v>133</v>
      </c>
      <c r="F6" s="22" t="n">
        <v>35</v>
      </c>
      <c r="G6" s="43" t="n">
        <v>68</v>
      </c>
      <c r="H6" s="32" t="n">
        <v>1</v>
      </c>
      <c r="I6" s="13" t="n">
        <v>356</v>
      </c>
      <c r="J6" s="44" t="n">
        <v>0.00280898876404494</v>
      </c>
    </row>
    <row r="7" customFormat="false" ht="18" hidden="false" customHeight="true" outlineLevel="0" collapsed="false">
      <c r="A7" s="8" t="n">
        <v>46245</v>
      </c>
      <c r="B7" s="13" t="n">
        <v>14431</v>
      </c>
      <c r="C7" s="10" t="n">
        <v>145</v>
      </c>
      <c r="D7" s="42" t="n">
        <v>132</v>
      </c>
      <c r="E7" s="42" t="n">
        <v>131</v>
      </c>
      <c r="F7" s="22" t="n">
        <v>42</v>
      </c>
      <c r="G7" s="43" t="n">
        <v>73</v>
      </c>
      <c r="H7" s="32" t="n">
        <v>1</v>
      </c>
      <c r="I7" s="13" t="n">
        <v>378</v>
      </c>
      <c r="J7" s="44" t="n">
        <v>0.00264550264550265</v>
      </c>
    </row>
    <row r="8" customFormat="false" ht="18" hidden="false" customHeight="true" outlineLevel="0" collapsed="false">
      <c r="A8" s="8" t="n">
        <v>46246</v>
      </c>
      <c r="B8" s="13" t="n">
        <v>3321</v>
      </c>
      <c r="C8" s="10" t="n">
        <v>37</v>
      </c>
      <c r="D8" s="42" t="n">
        <v>141</v>
      </c>
      <c r="E8" s="42" t="n">
        <v>158</v>
      </c>
      <c r="F8" s="22" t="n">
        <v>26</v>
      </c>
      <c r="G8" s="43" t="n">
        <v>70</v>
      </c>
      <c r="H8" s="32" t="n">
        <v>0</v>
      </c>
      <c r="I8" s="13" t="n">
        <v>395</v>
      </c>
      <c r="J8" s="44" t="n">
        <v>0</v>
      </c>
    </row>
    <row r="10" customFormat="false" ht="39.75" hidden="false" customHeight="true" outlineLevel="0" collapsed="false">
      <c r="A10" s="45" t="s">
        <v>59</v>
      </c>
      <c r="B10" s="45"/>
      <c r="C10" s="45"/>
      <c r="D10" s="45"/>
      <c r="E10" s="45"/>
      <c r="F10" s="45"/>
      <c r="G10" s="45"/>
      <c r="H10" s="45"/>
      <c r="I10" s="45"/>
      <c r="J10" s="45"/>
    </row>
  </sheetData>
  <mergeCells count="3">
    <mergeCell ref="A1:J1"/>
    <mergeCell ref="A2:J2"/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1" min="10" style="0" width="10"/>
  </cols>
  <sheetData>
    <row r="1" customFormat="false" ht="25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5.5" hidden="false" customHeight="true" outlineLevel="0" collapsed="false">
      <c r="A3" s="41" t="s">
        <v>7</v>
      </c>
      <c r="B3" s="41" t="s">
        <v>62</v>
      </c>
      <c r="C3" s="41" t="s">
        <v>63</v>
      </c>
      <c r="D3" s="41" t="s">
        <v>64</v>
      </c>
      <c r="E3" s="41" t="s">
        <v>65</v>
      </c>
      <c r="F3" s="41" t="s">
        <v>66</v>
      </c>
      <c r="G3" s="41" t="s">
        <v>67</v>
      </c>
      <c r="H3" s="41" t="s">
        <v>16</v>
      </c>
      <c r="I3" s="41" t="s">
        <v>44</v>
      </c>
      <c r="J3" s="41" t="s">
        <v>68</v>
      </c>
      <c r="K3" s="41" t="s">
        <v>69</v>
      </c>
    </row>
    <row r="4" customFormat="false" ht="15" hidden="false" customHeight="true" outlineLevel="0" collapsed="false">
      <c r="A4" s="8" t="n">
        <v>46235</v>
      </c>
      <c r="B4" s="11" t="n">
        <v>1988</v>
      </c>
      <c r="C4" s="13" t="n">
        <v>1932</v>
      </c>
      <c r="D4" s="10" t="n">
        <v>1463</v>
      </c>
      <c r="E4" s="46" t="n">
        <v>0.757246376811594</v>
      </c>
      <c r="F4" s="13" t="n">
        <v>35</v>
      </c>
      <c r="G4" s="14" t="n">
        <v>0.0181159420289855</v>
      </c>
      <c r="H4" s="13" t="n">
        <v>926</v>
      </c>
      <c r="I4" s="10" t="n">
        <v>20</v>
      </c>
      <c r="J4" s="33" t="n">
        <v>0.0215982721382289</v>
      </c>
      <c r="K4" s="47" t="n">
        <v>0</v>
      </c>
    </row>
    <row r="5" customFormat="false" ht="15" hidden="false" customHeight="true" outlineLevel="0" collapsed="false">
      <c r="A5" s="8" t="n">
        <v>46236</v>
      </c>
      <c r="B5" s="11" t="n">
        <v>2511</v>
      </c>
      <c r="C5" s="13" t="n">
        <v>2128</v>
      </c>
      <c r="D5" s="10" t="n">
        <v>1651</v>
      </c>
      <c r="E5" s="46" t="n">
        <v>0.775845864661654</v>
      </c>
      <c r="F5" s="13" t="n">
        <v>42</v>
      </c>
      <c r="G5" s="14" t="n">
        <v>0.0197368421052632</v>
      </c>
      <c r="H5" s="13" t="n">
        <v>982</v>
      </c>
      <c r="I5" s="10" t="n">
        <v>15</v>
      </c>
      <c r="J5" s="33" t="n">
        <v>0.0152749490835031</v>
      </c>
      <c r="K5" s="47" t="n">
        <v>0</v>
      </c>
    </row>
    <row r="6" customFormat="false" ht="15" hidden="false" customHeight="true" outlineLevel="0" collapsed="false">
      <c r="A6" s="8" t="n">
        <v>46237</v>
      </c>
      <c r="B6" s="11" t="n">
        <v>2462</v>
      </c>
      <c r="C6" s="13" t="n">
        <v>1986</v>
      </c>
      <c r="D6" s="10" t="n">
        <v>1529</v>
      </c>
      <c r="E6" s="46" t="n">
        <v>0.769889224572004</v>
      </c>
      <c r="F6" s="13" t="n">
        <v>32</v>
      </c>
      <c r="G6" s="14" t="n">
        <v>0.0161127895266868</v>
      </c>
      <c r="H6" s="13" t="n">
        <v>819</v>
      </c>
      <c r="I6" s="10" t="n">
        <v>18</v>
      </c>
      <c r="J6" s="33" t="n">
        <v>0.021978021978022</v>
      </c>
      <c r="K6" s="47" t="n">
        <v>0</v>
      </c>
    </row>
    <row r="7" customFormat="false" ht="15" hidden="false" customHeight="true" outlineLevel="0" collapsed="false">
      <c r="A7" s="8" t="n">
        <v>46238</v>
      </c>
      <c r="B7" s="11" t="n">
        <v>2413</v>
      </c>
      <c r="C7" s="13" t="n">
        <v>2030</v>
      </c>
      <c r="D7" s="10" t="n">
        <v>1525</v>
      </c>
      <c r="E7" s="46" t="n">
        <v>0.751231527093596</v>
      </c>
      <c r="F7" s="13" t="n">
        <v>33</v>
      </c>
      <c r="G7" s="14" t="n">
        <v>0.016256157635468</v>
      </c>
      <c r="H7" s="13" t="n">
        <v>745</v>
      </c>
      <c r="I7" s="10" t="n">
        <v>7</v>
      </c>
      <c r="J7" s="14" t="n">
        <v>0.00939597315436242</v>
      </c>
      <c r="K7" s="47" t="n">
        <v>0</v>
      </c>
    </row>
    <row r="8" customFormat="false" ht="15" hidden="false" customHeight="true" outlineLevel="0" collapsed="false">
      <c r="A8" s="8" t="n">
        <v>46239</v>
      </c>
      <c r="B8" s="11" t="n">
        <v>2225</v>
      </c>
      <c r="C8" s="13" t="n">
        <v>1916</v>
      </c>
      <c r="D8" s="10" t="n">
        <v>1418</v>
      </c>
      <c r="E8" s="46" t="n">
        <v>0.740083507306889</v>
      </c>
      <c r="F8" s="13" t="n">
        <v>30</v>
      </c>
      <c r="G8" s="14" t="n">
        <v>0.0156576200417537</v>
      </c>
      <c r="H8" s="13" t="n">
        <v>726</v>
      </c>
      <c r="I8" s="10" t="n">
        <v>12</v>
      </c>
      <c r="J8" s="33" t="n">
        <v>0.0165289256198347</v>
      </c>
      <c r="K8" s="47" t="n">
        <v>0</v>
      </c>
    </row>
    <row r="9" customFormat="false" ht="15" hidden="false" customHeight="true" outlineLevel="0" collapsed="false">
      <c r="A9" s="8" t="n">
        <v>46240</v>
      </c>
      <c r="B9" s="11" t="n">
        <v>2138</v>
      </c>
      <c r="C9" s="13" t="n">
        <v>2012</v>
      </c>
      <c r="D9" s="10" t="n">
        <v>1351</v>
      </c>
      <c r="E9" s="46" t="n">
        <v>0.671471172962227</v>
      </c>
      <c r="F9" s="13" t="n">
        <v>30</v>
      </c>
      <c r="G9" s="14" t="n">
        <v>0.0149105367793241</v>
      </c>
      <c r="H9" s="13" t="n">
        <v>714</v>
      </c>
      <c r="I9" s="10" t="n">
        <v>14</v>
      </c>
      <c r="J9" s="33" t="n">
        <v>0.0196078431372549</v>
      </c>
      <c r="K9" s="47" t="n">
        <v>0</v>
      </c>
    </row>
    <row r="10" customFormat="false" ht="15" hidden="false" customHeight="true" outlineLevel="0" collapsed="false">
      <c r="A10" s="8" t="n">
        <v>46241</v>
      </c>
      <c r="B10" s="11" t="n">
        <v>2154</v>
      </c>
      <c r="C10" s="13" t="n">
        <v>2198</v>
      </c>
      <c r="D10" s="10" t="n">
        <v>1322</v>
      </c>
      <c r="E10" s="46" t="n">
        <v>0.601455868971793</v>
      </c>
      <c r="F10" s="13" t="n">
        <v>23</v>
      </c>
      <c r="G10" s="14" t="n">
        <v>0.0104640582347589</v>
      </c>
      <c r="H10" s="13" t="n">
        <v>818</v>
      </c>
      <c r="I10" s="10" t="n">
        <v>19</v>
      </c>
      <c r="J10" s="33" t="n">
        <v>0.0232273838630807</v>
      </c>
      <c r="K10" s="47" t="n">
        <v>0</v>
      </c>
    </row>
    <row r="11" customFormat="false" ht="15" hidden="false" customHeight="true" outlineLevel="0" collapsed="false">
      <c r="A11" s="8" t="n">
        <v>46242</v>
      </c>
      <c r="B11" s="11" t="n">
        <v>2444</v>
      </c>
      <c r="C11" s="13" t="n">
        <v>2524</v>
      </c>
      <c r="D11" s="10" t="n">
        <v>1393</v>
      </c>
      <c r="E11" s="48" t="n">
        <v>0.551901743264659</v>
      </c>
      <c r="F11" s="13" t="n">
        <v>24</v>
      </c>
      <c r="G11" s="14" t="n">
        <v>0.00950871632329636</v>
      </c>
      <c r="H11" s="13" t="n">
        <v>915</v>
      </c>
      <c r="I11" s="10" t="n">
        <v>14</v>
      </c>
      <c r="J11" s="33" t="n">
        <v>0.0153005464480874</v>
      </c>
      <c r="K11" s="47" t="n">
        <v>0</v>
      </c>
    </row>
    <row r="12" customFormat="false" ht="15" hidden="false" customHeight="true" outlineLevel="0" collapsed="false">
      <c r="A12" s="8" t="n">
        <v>46243</v>
      </c>
      <c r="B12" s="11" t="n">
        <v>2576</v>
      </c>
      <c r="C12" s="13" t="n">
        <v>2650</v>
      </c>
      <c r="D12" s="10" t="n">
        <v>1348</v>
      </c>
      <c r="E12" s="48" t="n">
        <v>0.508679245283019</v>
      </c>
      <c r="F12" s="13" t="n">
        <v>31</v>
      </c>
      <c r="G12" s="14" t="n">
        <v>0.0116981132075472</v>
      </c>
      <c r="H12" s="13" t="n">
        <v>1158</v>
      </c>
      <c r="I12" s="10" t="n">
        <v>14</v>
      </c>
      <c r="J12" s="14" t="n">
        <v>0.0120898100172712</v>
      </c>
      <c r="K12" s="47" t="n">
        <v>0</v>
      </c>
    </row>
    <row r="13" customFormat="false" ht="15" hidden="false" customHeight="true" outlineLevel="0" collapsed="false">
      <c r="A13" s="8" t="n">
        <v>46244</v>
      </c>
      <c r="B13" s="11" t="n">
        <v>2298</v>
      </c>
      <c r="C13" s="13" t="n">
        <v>2380</v>
      </c>
      <c r="D13" s="10" t="n">
        <v>1226</v>
      </c>
      <c r="E13" s="48" t="n">
        <v>0.515126050420168</v>
      </c>
      <c r="F13" s="13" t="n">
        <v>19</v>
      </c>
      <c r="G13" s="14" t="n">
        <v>0.00798319327731092</v>
      </c>
      <c r="H13" s="13" t="n">
        <v>1046</v>
      </c>
      <c r="I13" s="10" t="n">
        <v>16</v>
      </c>
      <c r="J13" s="33" t="n">
        <v>0.0152963671128107</v>
      </c>
      <c r="K13" s="47" t="n">
        <v>0</v>
      </c>
    </row>
    <row r="14" customFormat="false" ht="15" hidden="false" customHeight="true" outlineLevel="0" collapsed="false">
      <c r="A14" s="8" t="n">
        <v>46245</v>
      </c>
      <c r="B14" s="11" t="n">
        <v>2177</v>
      </c>
      <c r="C14" s="13" t="n">
        <v>2214</v>
      </c>
      <c r="D14" s="10" t="n">
        <v>1152</v>
      </c>
      <c r="E14" s="48" t="n">
        <v>0.520325203252033</v>
      </c>
      <c r="F14" s="13" t="n">
        <v>18</v>
      </c>
      <c r="G14" s="14" t="n">
        <v>0.00813008130081301</v>
      </c>
      <c r="H14" s="13" t="n">
        <v>875</v>
      </c>
      <c r="I14" s="10" t="n">
        <v>11</v>
      </c>
      <c r="J14" s="14" t="n">
        <v>0.0125714285714286</v>
      </c>
      <c r="K14" s="47" t="n">
        <v>0</v>
      </c>
    </row>
    <row r="15" customFormat="false" ht="15" hidden="false" customHeight="true" outlineLevel="0" collapsed="false">
      <c r="A15" s="8" t="n">
        <v>46246</v>
      </c>
      <c r="B15" s="11" t="n">
        <v>1968</v>
      </c>
      <c r="C15" s="13" t="n">
        <v>1671</v>
      </c>
      <c r="D15" s="10" t="n">
        <v>946</v>
      </c>
      <c r="E15" s="48" t="n">
        <v>0.566128067025733</v>
      </c>
      <c r="F15" s="13" t="n">
        <v>19</v>
      </c>
      <c r="G15" s="14" t="n">
        <v>0.0113704368641532</v>
      </c>
      <c r="H15" s="13" t="n">
        <v>629</v>
      </c>
      <c r="I15" s="10" t="n">
        <v>9</v>
      </c>
      <c r="J15" s="14" t="n">
        <v>0.014308426073132</v>
      </c>
      <c r="K15" s="47" t="n">
        <v>0</v>
      </c>
    </row>
    <row r="16" customFormat="false" ht="15" hidden="false" customHeight="true" outlineLevel="0" collapsed="false">
      <c r="A16" s="8" t="n">
        <v>46247</v>
      </c>
      <c r="B16" s="11" t="n">
        <v>1884</v>
      </c>
      <c r="C16" s="13" t="n">
        <v>1678</v>
      </c>
      <c r="D16" s="10" t="n">
        <v>927</v>
      </c>
      <c r="E16" s="48" t="n">
        <v>0.552443384982122</v>
      </c>
      <c r="F16" s="13" t="n">
        <v>19</v>
      </c>
      <c r="G16" s="14" t="n">
        <v>0.0113230035756853</v>
      </c>
      <c r="H16" s="13" t="n">
        <v>719</v>
      </c>
      <c r="I16" s="10" t="n">
        <v>12</v>
      </c>
      <c r="J16" s="33" t="n">
        <v>0.0166898470097357</v>
      </c>
      <c r="K16" s="47" t="n"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70"/>
  </cols>
  <sheetData>
    <row r="1" customFormat="false" ht="25.5" hidden="false" customHeight="true" outlineLevel="0" collapsed="false">
      <c r="A1" s="1" t="s">
        <v>70</v>
      </c>
      <c r="B1" s="1"/>
      <c r="C1" s="1"/>
      <c r="D1" s="1"/>
      <c r="E1" s="1"/>
    </row>
    <row r="3" customFormat="false" ht="24" hidden="false" customHeight="true" outlineLevel="0" collapsed="false">
      <c r="A3" s="41" t="s">
        <v>71</v>
      </c>
      <c r="B3" s="49" t="s">
        <v>72</v>
      </c>
      <c r="C3" s="49" t="s">
        <v>73</v>
      </c>
      <c r="D3" s="49" t="s">
        <v>74</v>
      </c>
    </row>
    <row r="4" customFormat="false" ht="18" hidden="false" customHeight="true" outlineLevel="0" collapsed="false">
      <c r="A4" s="50" t="s">
        <v>75</v>
      </c>
      <c r="B4" s="51" t="s">
        <v>76</v>
      </c>
      <c r="C4" s="51" t="s">
        <v>77</v>
      </c>
      <c r="D4" s="51" t="s">
        <v>78</v>
      </c>
    </row>
    <row r="5" customFormat="false" ht="18" hidden="false" customHeight="true" outlineLevel="0" collapsed="false">
      <c r="A5" s="50" t="s">
        <v>79</v>
      </c>
      <c r="B5" s="51" t="s">
        <v>80</v>
      </c>
      <c r="C5" s="51" t="s">
        <v>81</v>
      </c>
      <c r="D5" s="51" t="s">
        <v>82</v>
      </c>
    </row>
    <row r="6" customFormat="false" ht="18" hidden="false" customHeight="true" outlineLevel="0" collapsed="false">
      <c r="A6" s="52" t="s">
        <v>83</v>
      </c>
      <c r="B6" s="53" t="s">
        <v>84</v>
      </c>
      <c r="C6" s="53" t="s">
        <v>85</v>
      </c>
      <c r="D6" s="54" t="s">
        <v>86</v>
      </c>
    </row>
    <row r="7" customFormat="false" ht="18" hidden="false" customHeight="true" outlineLevel="0" collapsed="false">
      <c r="A7" s="55" t="s">
        <v>87</v>
      </c>
      <c r="B7" s="56" t="s">
        <v>88</v>
      </c>
      <c r="C7" s="56" t="s">
        <v>89</v>
      </c>
      <c r="D7" s="56" t="s">
        <v>90</v>
      </c>
    </row>
    <row r="8" customFormat="false" ht="18" hidden="false" customHeight="true" outlineLevel="0" collapsed="false">
      <c r="A8" s="52" t="s">
        <v>91</v>
      </c>
      <c r="B8" s="53" t="s">
        <v>92</v>
      </c>
      <c r="C8" s="53" t="s">
        <v>93</v>
      </c>
      <c r="D8" s="53" t="s">
        <v>94</v>
      </c>
    </row>
    <row r="9" customFormat="false" ht="18" hidden="false" customHeight="true" outlineLevel="0" collapsed="false">
      <c r="A9" s="55" t="s">
        <v>95</v>
      </c>
      <c r="B9" s="56" t="s">
        <v>96</v>
      </c>
      <c r="C9" s="56" t="s">
        <v>97</v>
      </c>
      <c r="D9" s="56" t="s">
        <v>98</v>
      </c>
    </row>
    <row r="10" customFormat="false" ht="18" hidden="false" customHeight="true" outlineLevel="0" collapsed="false">
      <c r="A10" s="55" t="s">
        <v>68</v>
      </c>
      <c r="B10" s="56" t="s">
        <v>96</v>
      </c>
      <c r="C10" s="56" t="s">
        <v>99</v>
      </c>
      <c r="D10" s="56" t="s">
        <v>100</v>
      </c>
    </row>
    <row r="11" customFormat="false" ht="18" hidden="false" customHeight="true" outlineLevel="0" collapsed="false">
      <c r="A11" s="50" t="s">
        <v>101</v>
      </c>
      <c r="B11" s="51" t="s">
        <v>102</v>
      </c>
      <c r="C11" s="51" t="s">
        <v>103</v>
      </c>
      <c r="D11" s="57" t="s">
        <v>104</v>
      </c>
    </row>
    <row r="12" customFormat="false" ht="18" hidden="false" customHeight="true" outlineLevel="0" collapsed="false">
      <c r="A12" s="55" t="s">
        <v>105</v>
      </c>
      <c r="B12" s="56" t="s">
        <v>106</v>
      </c>
      <c r="C12" s="56" t="s">
        <v>107</v>
      </c>
      <c r="D12" s="56" t="s">
        <v>108</v>
      </c>
    </row>
    <row r="13" customFormat="false" ht="18" hidden="false" customHeight="true" outlineLevel="0" collapsed="false">
      <c r="A13" s="55" t="s">
        <v>109</v>
      </c>
      <c r="B13" s="56" t="s">
        <v>110</v>
      </c>
      <c r="C13" s="56" t="s">
        <v>111</v>
      </c>
      <c r="D13" s="56" t="s">
        <v>112</v>
      </c>
    </row>
    <row r="14" customFormat="false" ht="18" hidden="false" customHeight="true" outlineLevel="0" collapsed="false">
      <c r="A14" s="52" t="s">
        <v>113</v>
      </c>
      <c r="B14" s="53" t="s">
        <v>114</v>
      </c>
      <c r="C14" s="53" t="s">
        <v>115</v>
      </c>
      <c r="D14" s="54" t="s">
        <v>116</v>
      </c>
    </row>
    <row r="15" customFormat="false" ht="18" hidden="false" customHeight="true" outlineLevel="0" collapsed="false">
      <c r="A15" s="55" t="s">
        <v>117</v>
      </c>
      <c r="B15" s="56" t="s">
        <v>118</v>
      </c>
      <c r="C15" s="56" t="s">
        <v>119</v>
      </c>
      <c r="D15" s="56" t="s">
        <v>120</v>
      </c>
    </row>
    <row r="17" customFormat="false" ht="19.5" hidden="false" customHeight="true" outlineLevel="0" collapsed="false">
      <c r="A17" s="58" t="s">
        <v>121</v>
      </c>
      <c r="B17" s="58"/>
      <c r="C17" s="58"/>
      <c r="D17" s="58"/>
      <c r="E17" s="58"/>
    </row>
    <row r="18" customFormat="false" ht="24" hidden="false" customHeight="true" outlineLevel="0" collapsed="false">
      <c r="A18" s="41" t="s">
        <v>122</v>
      </c>
      <c r="B18" s="41" t="s">
        <v>123</v>
      </c>
      <c r="C18" s="41" t="s">
        <v>124</v>
      </c>
      <c r="D18" s="41" t="s">
        <v>125</v>
      </c>
      <c r="E18" s="41" t="s">
        <v>126</v>
      </c>
    </row>
    <row r="19" customFormat="false" ht="48" hidden="false" customHeight="true" outlineLevel="0" collapsed="false">
      <c r="A19" s="59" t="s">
        <v>127</v>
      </c>
      <c r="B19" s="60" t="s">
        <v>128</v>
      </c>
      <c r="C19" s="61" t="s">
        <v>129</v>
      </c>
      <c r="D19" s="62" t="s">
        <v>130</v>
      </c>
      <c r="E19" s="63" t="s">
        <v>131</v>
      </c>
    </row>
    <row r="20" customFormat="false" ht="48" hidden="false" customHeight="true" outlineLevel="0" collapsed="false">
      <c r="A20" s="59" t="s">
        <v>132</v>
      </c>
      <c r="B20" s="60" t="s">
        <v>133</v>
      </c>
      <c r="C20" s="64" t="s">
        <v>134</v>
      </c>
      <c r="D20" s="62" t="s">
        <v>135</v>
      </c>
      <c r="E20" s="63" t="s">
        <v>136</v>
      </c>
    </row>
    <row r="21" customFormat="false" ht="48" hidden="false" customHeight="true" outlineLevel="0" collapsed="false">
      <c r="A21" s="59" t="s">
        <v>137</v>
      </c>
      <c r="B21" s="60" t="s">
        <v>138</v>
      </c>
      <c r="C21" s="64" t="s">
        <v>134</v>
      </c>
      <c r="D21" s="62" t="s">
        <v>139</v>
      </c>
      <c r="E21" s="63" t="s">
        <v>140</v>
      </c>
    </row>
    <row r="22" customFormat="false" ht="48" hidden="false" customHeight="true" outlineLevel="0" collapsed="false">
      <c r="A22" s="59" t="s">
        <v>141</v>
      </c>
      <c r="B22" s="60" t="s">
        <v>133</v>
      </c>
      <c r="C22" s="65" t="s">
        <v>142</v>
      </c>
      <c r="D22" s="62" t="s">
        <v>143</v>
      </c>
      <c r="E22" s="63" t="s">
        <v>144</v>
      </c>
    </row>
    <row r="23" customFormat="false" ht="48" hidden="false" customHeight="true" outlineLevel="0" collapsed="false">
      <c r="A23" s="59" t="s">
        <v>145</v>
      </c>
      <c r="B23" s="60" t="s">
        <v>146</v>
      </c>
      <c r="C23" s="65" t="s">
        <v>142</v>
      </c>
      <c r="D23" s="62" t="s">
        <v>147</v>
      </c>
      <c r="E23" s="63" t="s">
        <v>148</v>
      </c>
    </row>
  </sheetData>
  <mergeCells count="2">
    <mergeCell ref="A1:E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2026-08-14T05:28:03Z</dcterms:created>
  <dc:creator>openpyxl</dc:creator>
  <dc:description/>
  <dc:language>en-US</dc:language>
  <cp:lastModifiedBy/>
  <dcterms:modified xsi:type="dcterms:W3CDTF">2026-08-14T05:28:03Z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